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NUAL CF" sheetId="1" r:id="rId5"/>
    <sheet state="hidden" name="OCT REC" sheetId="2" r:id="rId6"/>
    <sheet state="hidden" name="Detail7-RENT" sheetId="3" r:id="rId7"/>
    <sheet state="hidden" name="PREVIOUS" sheetId="4" r:id="rId8"/>
    <sheet state="visible" name="MONTHLY CF" sheetId="5" r:id="rId9"/>
    <sheet state="visible" name="REC" sheetId="6" r:id="rId10"/>
    <sheet state="visible" name="DEBT -&gt; SAVING" sheetId="7" r:id="rId11"/>
  </sheets>
  <definedNames/>
  <calcPr/>
  <pivotCaches>
    <pivotCache cacheId="0" r:id="rId1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6">
      <text>
        <t xml:space="preserve">£  675 = 84DD#1
£  650 = 16RC#3
£  675 = 4WS#7
£  675 = 32LFR#4
£  675 = 84DD#5
£1170 = 27BLD#1
£  675 = 10KG#1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16RC#3
32LFR#4
32LFR#6
84DD#1
84DD#5
4WS#1
4WS#4
4WS#7
26BLA#2
March 20   +£625   84DD#1
March 18   +£635   4WS#7
March 26   +£660   32LFR#6
March 28   +£645   4WS#4 
March 28   +£650.00   84DD#3
March 29   +£650   32LFR#7
March 30   +£625   32LFR#4
March 31   +£625   84DD#5
March 31   +£625   16RC#3</t>
      </text>
    </comment>
    <comment authorId="0" ref="G3">
      <text>
        <t xml:space="preserve">March 31   -£625.00   16RC#3
March 31   -£625.00   84DD#5
March 30   -£625.00   32LFR#4
March 29   -£650.00   32LFR#7
March 28   -£650.00   84DD#3
March 28   -£645.00   4WS#4
March 26   -£660.00   32LFR#6
March 20   -£625.00   84DD#1</t>
      </text>
    </comment>
    <comment authorId="0" ref="D4">
      <text>
        <t xml:space="preserve">TDS = DEPOSIT PROTECTION FOR NEW TENANCIES
REFS = REFERENCING VIA ARTHUR FOR NEW TENANCIES</t>
      </text>
    </comment>
    <comment authorId="0" ref="F4">
      <text>
        <t xml:space="preserve">32LFR#7 (OUT) -£299.65
32LFR#7 (IN) £550.00
10KG#5   £100.00
10KG#5   £575.00
10KG #5 TDS -£17.95 
10KG#5 -22.79
10KG#5 SR £25.98
March 7   £45.58</t>
      </text>
    </comment>
    <comment authorId="0" ref="G4">
      <text>
        <t xml:space="preserve">April 2   £75.00   Viewings, C-in, C-out, Key Collection
April 11   -£44.98   SpareRoom
April 12   -17.95   TDS   27BLD</t>
      </text>
    </comment>
    <comment authorId="0" ref="F5">
      <text>
        <t xml:space="preserve">£2,156.07       7-Mar
£398.30          3-Mar
£1,407.65      1-Mar
£524.52          1-Mar
£20,000.00     17-Mar</t>
      </text>
    </comment>
    <comment authorId="0" ref="G5">
      <text>
        <t xml:space="preserve">April 1   -£1,427.13
April 3   -£2,500.00
April 3   -£9,100.00
April 3   -£3,849.82
April 3   £9,217.70
April 3   -£1,000.00
April 3   -£1,000.00
April 4   -£395.00
</t>
      </text>
    </comment>
    <comment authorId="0" ref="F6">
      <text>
        <t xml:space="preserve">Bank Transfer to STARLING BUSINESS ACCOUNT
March 5, 2025
- £100 Santander
£100.00 Starling
March 27
Santander -£250
Starling £250</t>
      </text>
    </comment>
    <comment authorId="0" ref="G6">
      <text>
        <t xml:space="preserve">STARLING
April 10   £200.000   TaskRabbit Funding
SANTANDER
April 11   -£200.000   TaskRabbit Funding</t>
      </text>
    </comment>
    <comment authorId="0" ref="F7">
      <text>
        <t xml:space="preserve">March 17   £38,347.00   CHARTER COURT FINANCIAL SERVICES LIMITED
March 3   £80.00   CHARTER COURT FS 27BL
March 12   £96.33   BRIGHT &amp; BEAUTIFUL (DEVELOPMENT CHARGE) 27BLC
March 12   £68.40   BRIGHT &amp; BEAUTIFUL (DEVELOPMENT CHARGE) 27BLC
March 15   £145.00   3MC (BROKER FEE) KENT RELIANCE
March 12   £195.00   3MC (BROKER FEE) KENT RELIANCE
March 19   £239.75   TILE MOUNTAIN
March 20   £360.00   ENERGY SOLUTIONS
March 20   £52.08   LOCK &amp; KEY
March 21   £144.00   MERSEYROD
March 17   £400.00   LANDLORD FURNITURE CO.
March 21   £523.14   MAGNET TRADE
March 26   £2,802.32   LANDLORD FURNITURE CO.
March 26   £90.00   LANDLORD FURNITURE CO.
March 28   £173.34   BRIGHT &amp; BEAUTIFUL (DEVELOPMENT CHARGE) 27BLC
March 28   £82.44   247BLINDS
March 28   £69.99   AMAZON
March 31   -£61.02   OCTOPUS ENERGY</t>
      </text>
    </comment>
    <comment authorId="0" ref="G7">
      <text>
        <t xml:space="preserve">April 1   -£1,340.00   ARCH WORKS
April 4   -£52.08   LOCK &amp; KEY
April 5   -£747.91   TRADE CHOICE
April 5   -£128.53   FloorToYourDoor
April 2   -£89.68   TASKRABBIT (STARLING)
April 8   -£45.64   Amazon
April 10   -£87.48   B&amp;B
April 12   -£165   SHAUN'S
April 11   -£213.10   TASKRABBIT </t>
      </text>
    </comment>
    <comment authorId="0" ref="F8">
      <text>
        <t xml:space="preserve">Mar 15   1.65   FX
Mar 17   0.66   FX
Mar 19   39.87  TRAINLINE
Mar 25   1.95   FX
Mar 25   66.25  RYANAIR
Mar 26   14.39  TRAINLINE
Mar 27   0.48   FX
Mar 27   16.32  RYANAIR
Mar 29   3.00   TRAVELODGE WI-FI
Mar 29   55.98  ENTERPRISE
Mar 30   0.32   FX
Mar 30   10.88  VUELING</t>
      </text>
    </comment>
    <comment authorId="0" ref="G8">
      <text>
        <t xml:space="preserve">April 4   -£1.17   SANTANDER FX
April 4   -£39.68   VUELING
April 4   -£22.27   RYANAIR
April 5   -£0.66   SANTANDER FX
</t>
      </text>
    </comment>
    <comment authorId="0" ref="G30">
      <text>
        <t xml:space="preserve">April 2   £270.83</t>
      </text>
    </comment>
    <comment authorId="0" ref="B98">
      <text>
        <t xml:space="preserve">ANNUAL </t>
      </text>
    </comment>
    <comment authorId="0" ref="G106">
      <text>
        <t xml:space="preserve">April 7   -£19.68</t>
      </text>
    </comment>
    <comment authorId="0" ref="F109">
      <text>
        <t xml:space="preserve">-46.23   March 10
-43.87   March 11
-31.84   March 13
</t>
      </text>
    </comment>
    <comment authorId="0" ref="G109">
      <text>
        <t xml:space="preserve">- 75.35   April 8</t>
      </text>
    </comment>
    <comment authorId="0" ref="D110">
      <text>
        <t xml:space="preserve">ANNUAL GAS SAFETY TESTING = £86.40/PPTY
20250309 = Feb 25 = 16RC
20250610 = May 25 = 10KG
20250713 = JUN 13 = 4WS
20250713 = JUN 13 = 84DD
20250908 = AUG 08 = 32LFR</t>
      </text>
    </comment>
    <comment authorId="0" ref="G110">
      <text>
        <t xml:space="preserve">April 9   -£100.00   Keith Lloyd</t>
      </text>
    </comment>
    <comment authorId="0" ref="D111">
      <text>
        <t xml:space="preserve">WEEKLY CHARGE (BILLED WEEKLY, FORTNIGHTLY, OTHER) iNCLUDE MATERIALS/NOT, </t>
      </text>
    </comment>
    <comment authorId="0" ref="F111">
      <text>
        <t xml:space="preserve">March 20 £82.50
March 20 £330.00</t>
      </text>
    </comment>
    <comment authorId="0" ref="G111">
      <text>
        <t xml:space="preserve">April 9   -£165   Shaun's
</t>
      </text>
    </comment>
    <comment authorId="0" ref="D112">
      <text>
        <t xml:space="preserve">DEVELOPMENT</t>
      </text>
    </comment>
    <comment authorId="0" ref="G112">
      <text>
        <t xml:space="preserve">April 8   -£375.08   16RC</t>
      </text>
    </comment>
    <comment authorId="0" ref="F115">
      <text>
        <t xml:space="preserve">-40.82     March 13
-89.26     March 14
-43.06     March 17</t>
      </text>
    </comment>
    <comment authorId="0" ref="G115">
      <text>
        <t xml:space="preserve">April 11   -£116.71</t>
      </text>
    </comment>
    <comment authorId="0" ref="F116">
      <text>
        <t xml:space="preserve">March 27   £61.50</t>
      </text>
    </comment>
    <comment authorId="0" ref="B117">
      <text>
        <t xml:space="preserve">ANNUAL RECEIPT</t>
      </text>
    </comment>
    <comment authorId="0" ref="D117">
      <text>
        <t xml:space="preserve">ANNUAL</t>
      </text>
    </comment>
    <comment authorId="0" ref="D120">
      <text>
        <t xml:space="preserve">ANNUAL</t>
      </text>
    </comment>
    <comment authorId="0" ref="D128">
      <text>
        <t xml:space="preserve">ANNUAL</t>
      </text>
    </comment>
    <comment authorId="0" ref="D130">
      <text>
        <t xml:space="preserve">ANNUAL 14th JULY</t>
      </text>
    </comment>
    <comment authorId="0" ref="D143">
      <text>
        <t xml:space="preserve"> ANNUAL MEMBERSHIP FEE</t>
      </text>
    </comment>
    <comment authorId="0" ref="D154">
      <text>
        <t xml:space="preserve">HF RESOLUTION LTD
ANNUAL MEMBERSHIP FEE</t>
      </text>
    </comment>
    <comment authorId="0" ref="F163">
      <text>
        <t xml:space="preserve">March 28   -£100   LANDBAY
March 31 -£1,027.36 LANDBAY</t>
      </text>
    </comment>
    <comment authorId="0" ref="F164">
      <text>
        <t xml:space="preserve">OVEN CLEANING
26BL(ABC) - 3 OVENS - £150
84DD - 2 OVENS - £100
4WS - 2 OVENS - £100
32LFR - 2 OVENS - £100
10KG - 1 OVEN - £50</t>
      </text>
    </comment>
    <comment authorId="0" ref="B165">
      <text>
        <t xml:space="preserve">DISCRETIONARY</t>
      </text>
    </comment>
    <comment authorId="0" ref="D165">
      <text>
        <t xml:space="preserve">ONE-TIME CHARGES</t>
      </text>
    </comment>
    <comment authorId="0" ref="D166">
      <text>
        <t xml:space="preserve">COST OF THE ADVERT - VARY BY THE LENGTH OF TIME WE WANT IT FOR (USU. 4 WEEKS) AND THEY ALSO CHANGE THEIR PRICING WITH SPECIAL OFFERS
WE ALSO PAY FOR CLICK PER VIEW (VARIABLE) WHERE WE BID TO BE THE FIRST AD SHOWN FOR CHESTER. YOU CAN BID FROM £0.03 (3P) UP TO £0.20 (20P) ... USUALLY WE PAY A FIXED £20.00 UNTIL IT IS USED UP (PPC) 
SOMETIMES WE MAY HAVE NO AD. WE CROSS SELL ON ADS FOR OTHER PROPERTIES.</t>
      </text>
    </comment>
    <comment authorId="0" ref="D167">
      <text>
        <t xml:space="preserve">ARTHUR = REFERENCE PROCESS
TWO OPTION;
A: INDIVIDUAL = £22.79
B: INDIVIDUAL + UK GUARANTOR = £45.58*
*WHERE THE INDIVIDUAL CANNOT ACCREDIT MEDIUM TERM EARNINGS; IN NEW JOBS TENANTS CAN HAVE EMPLOYMENT CONTRACTS WITH PROBATIONARY PERIODS. IN THE PROBATIONARY PERIOD THEY CAN BE SACKED AT A WEEK'S NOTICE WITH FEW EMPLOYMENT RIGHTS. </t>
      </text>
    </comment>
    <comment authorId="0" ref="D168">
      <text>
        <t xml:space="preserve">CHESTER INVENTORIES RATES
VIEWINGS £15.00
CHECK INS £20.00
CHECK OUTS £25.00
KEY DROP OFF £15.00
COLLECT KEY and CHECK ROOM AFTER CHECKOUT £20.00
HAND KEY TO NEW TENANT £20.00
VIEWBER
£ AND 2.0 HRS
£ AND 1.0 HRS
ONLY ONE CHECK OUT PER MOVE
ONLY ONE CHECK IN PER MOVE
WE MAY HAVE BETWEEN 1 AND 6 VIEWINGS = VARIABLE
</t>
      </text>
    </comment>
    <comment authorId="0" ref="D170">
      <text>
        <t xml:space="preserve">ANNUAL PAT TESTING = £70
20250718 = JUN 25 = 84DD
20250828 = JUL 28 = 10KG</t>
      </text>
    </comment>
    <comment authorId="0" ref="D171">
      <text>
        <t xml:space="preserve">ANNUAL FIRE ALARM TESTING = £40
20250722 = JUN 22 = 84DD
20251004 = SEP 04 = 32LFR
20251004 = SEP 04 = 10KG
20251004 = SEP 04 = 4WS
</t>
      </text>
    </comment>
    <comment authorId="0" ref="D172">
      <text>
        <t xml:space="preserve">ANNUAL EL TESTING = £40
20250823 = JUL 23 = 84DD
20251003 = SEP 03 = 16RC
20251003 = SEP 03 = 10KG
20251003 = SEP 03 = 32LFR
</t>
      </text>
    </comment>
    <comment authorId="0" ref="D173">
      <text>
        <t xml:space="preserve">EICR TESTING = £200
NICEIC TESTING EVERY FIVE YEARS
20250718 = JUN 25 = 84DD</t>
      </text>
    </comment>
    <comment authorId="0" ref="B174">
      <text>
        <t xml:space="preserve">DISCRETIONARY</t>
      </text>
    </comment>
    <comment authorId="0" ref="D174">
      <text>
        <t xml:space="preserve">REPLACEMENTS (AD-HOC)
DEVELOPMENT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RECONCILED</t>
      </text>
    </comment>
    <comment authorId="0" ref="J3">
      <text>
        <t xml:space="preserve">£  675 = 84DD#1
£  650 = 16RC#3
£  675 = 4WS#7
£  675 = 32LFR#4
£  675 = 84DD#5
£1170 = 27BLD#1
£  675 = 10KG#1
</t>
      </text>
    </comment>
    <comment authorId="0" ref="K3">
      <text>
        <t xml:space="preserve">£  675 = 84DD#1
£  650 = 16RC#3
£  675 = 4WS#7
£  675 = 16RC#2
£  675 = 32LFR#4
£  725 = 26BLB#1
£  700 = 10KG#5
£1,170 = 27BLD#1
£  675 = 10KG#1
</t>
      </text>
    </comment>
    <comment authorId="0" ref="L3">
      <text>
        <t xml:space="preserve">£   650.00 = 16RC#3
£   675.00 = 16RC#2
£   675.00 = 4WS#7
£   675.00 = 32LFR#4
£   725.00 = 26BLB#2
£1,170.00 = 27BLD#1
£   675.00 = 84DD#5
£   675.00 = 10KG#1
£   675.00 = 84DD#1
£   675.00 = 4WS#1
</t>
      </text>
    </comment>
    <comment authorId="0" ref="M3">
      <text>
        <t xml:space="preserve">£   650.00 = 16RC#3
£   675.00 = 16RC#2
£   675.00 = 4WS#7
£   675.00 = 84DD#1
£   675.00 = 32LFR#4
£   725.00 = 26BLB#1
£   675.00 = 10KG#1
£1,170.00 = 27BLD#1
</t>
      </text>
    </comment>
    <comment authorId="0" ref="N3">
      <text>
        <t xml:space="preserve">£   650.00 = 16RC#3
£   675.00 = 84DD#1
£   675.00 = 16RC#2
£   675.00 = 32LFR#4
£1,170.00 = 27BLD#1
£   725.00 = 26BLB#1
£   609.67 = 4WS#7
£   675.00 = 4WS#1
£   675.00 = 10KG#1
</t>
      </text>
    </comment>
    <comment authorId="0" ref="F4">
      <text>
        <t xml:space="preserve">TDS = DEPOSIT PROTECTION FOR NEW TENANCIES
REFS = REFERENCING VIA ARTHUR FOR NEW TENANCIES</t>
      </text>
    </comment>
    <comment authorId="0" ref="G4">
      <text>
        <t xml:space="preserve">TDS = DEPOSIT PROTECTION FOR NEW TENANCIES
REFS = REFERENCING VIA ARTHUR FOR NEW TENANCIES</t>
      </text>
    </comment>
    <comment authorId="0" ref="K4">
      <text>
        <t xml:space="preserve">£17.95 = 26BLA#1 TOM WILLIAMS</t>
      </text>
    </comment>
    <comment authorId="0" ref="L4">
      <text>
        <t xml:space="preserve">£17.95 = 32LFR#3 TDS RIGBY</t>
      </text>
    </comment>
    <comment authorId="0" ref="N4">
      <text>
        <t xml:space="preserve">84DD#3 NITISH NAGENDRAN £17.95</t>
      </text>
    </comment>
    <comment authorId="0" ref="F5">
      <text>
        <t xml:space="preserve">DEPOSITS IN AND OUT SHOULD NET TO NIL OR BE CASH INFLOW POSITIVE IF RENTS AND THEREFORE DEPOSITS ARE INCREASING</t>
      </text>
    </comment>
    <comment authorId="0" ref="G5">
      <text>
        <t xml:space="preserve">DEPOSITS IN AND OUT SHOULD NET TO NIL OR BE CASH INFLOW POSITIVE IF RENTS AND THEREFORE DEPOSITS ARE INCREASING</t>
      </text>
    </comment>
    <comment authorId="0" ref="I5">
      <text>
        <t xml:space="preserve">£600 = TOMOS DAVIES 10KG#5
£100 = ASWATHY 26BLB#1
£100 = KATIE 4WS#1
£625 = ASWATHY 26BLB#1
£575 = KATIE 4WS#1
RETURNED
£620.00 = YUTING 10KG#5
£260.39 = TEJA 4WS#1 Incl 326.61 RENT
£612.00= CAMERON 26BLB#1
</t>
      </text>
    </comment>
    <comment authorId="0" ref="K5">
      <text>
        <t xml:space="preserve">£100.00 TOM WILLIAMS (26BLA#1)
£100.00 EVE RIGBY (32LFR#3)
£575.00 TOM WILLIAMS (26BLA#1)</t>
      </text>
    </comment>
    <comment authorId="0" ref="L5">
      <text>
        <t xml:space="preserve">-£587.00 = 26BLA#1 DARREN BERRILL
-£587.00 = 27BLA#2 AISHAT
+£575.00 = 32LFR#3 EVE RIGBY
-£505.00 = 32LFR#3 REBECCA METCALFE
+£100.00 = 27BLA#2 HAMED</t>
      </text>
    </comment>
    <comment authorId="0" ref="M5">
      <text>
        <t xml:space="preserve">£100.00 = RETURN 26BLA#2
£587.00 = GRACE PAGE 84DD#3
£  18.00 = GRACE PAGE 84DD#3
£100.00 = NITISH NAGENDRAN
£100.00 = JACK HIBBERT
</t>
      </text>
    </comment>
    <comment authorId="0" ref="N5">
      <text>
        <t xml:space="preserve">84DD#3 NITISH £600</t>
      </text>
    </comment>
    <comment authorId="0" ref="F6">
      <text>
        <t xml:space="preserve">REFS = REFERENCING VIA ARTHUR FOR NEW TENANCIES.
19 TENANTS &gt; 1YR VS. 35 TENANTS (EXCLUDING 6 @ 27BL - 2 OF WHICH EXISTING) ... 21/35 = 60% RETENTION. 40% TURNOVER. 40% OF 41 = 16 TENANCIES TO ROTATE IN 2025-26 @ 22.79. EXCLUDES GUARANTOR IMPACT</t>
      </text>
    </comment>
    <comment authorId="0" ref="G6">
      <text>
        <t xml:space="preserve">REFS = REFERENCING VIA ARTHUR FOR NEW TENANCIES.
19 TENANTS &gt; 1YR VS. 35 TENANTS (EXCLUDING 6 @ 27BL - 2 OF WHICH EXISTING) ... 21/35 = 60% RETENTION. 40% TURNOVER. 40% OF 41 = 16 TENANCIES TO ROTATE IN 2025-26 @ 22.79. EXCLUDES GUARANTOR IMPACT</t>
      </text>
    </comment>
    <comment authorId="0" ref="K6">
      <text>
        <t xml:space="preserve">£17.95 = 26BLA#1 TOM WILLIAMS</t>
      </text>
    </comment>
    <comment authorId="0" ref="L6">
      <text>
        <t xml:space="preserve">£45.58 = 32LFR#3 RIGBY + GTOR</t>
      </text>
    </comment>
    <comment authorId="0" ref="M6">
      <text>
        <t xml:space="preserve">£45.58 27BLA#2 FAILED GTOR</t>
      </text>
    </comment>
    <comment authorId="0" ref="F7">
      <text>
        <t xml:space="preserve">£70 CHARGE REDUCES DEPOSIT RETURN, AND OFFSET AGAINST CASH OUTFLOW TO BRIGHT &amp; BEAUTIFUL. NET IMPACT = NIL.</t>
      </text>
    </comment>
    <comment authorId="0" ref="G7">
      <text>
        <t xml:space="preserve">£70 CHARGE REDUCES DEPOSIT RETURN, AND OFFSET AGAINST CASH OUTFLOW TO BRIGHT &amp; BEAUTIFUL. NET IMPACT = NIL.</t>
      </text>
    </comment>
    <comment authorId="0" ref="I7">
      <text>
        <t xml:space="preserve">£55.00 10KG#5
£55.00 4WS#1
£96.25 26BLB#1</t>
      </text>
    </comment>
    <comment authorId="0" ref="K7">
      <text>
        <t xml:space="preserve">£70.00 = 26BLA#1</t>
      </text>
    </comment>
    <comment authorId="0" ref="L7">
      <text>
        <t xml:space="preserve">27BLA#2 = £69.50
32LFR#3 = £70.00</t>
      </text>
    </comment>
    <comment authorId="0" ref="M7">
      <text>
        <t xml:space="preserve">84DD#3 = £63.00</t>
      </text>
    </comment>
    <comment authorId="0" ref="F8">
      <text>
        <t xml:space="preserve">£50 (£47 IN 2024-25) PER CAMPAIGN SPENT</t>
      </text>
    </comment>
    <comment authorId="0" ref="G8">
      <text>
        <t xml:space="preserve">£50 (£47 IN 2024-25) PER CAMPAIGN SPENT</t>
      </text>
    </comment>
    <comment authorId="0" ref="I8">
      <text>
        <t xml:space="preserve">26BLB = £19</t>
      </text>
    </comment>
    <comment authorId="0" ref="J8">
      <text>
        <t xml:space="preserve">26BLA#1</t>
      </text>
    </comment>
    <comment authorId="0" ref="K8">
      <text>
        <t xml:space="preserve">£29.00 26BLA#1 OPEN RENT
£20.00 26BLA#1 SR FEATURED AD
£10.00 32LFR#3 SR EXTRA LISTING
£28.00 27BLA#2 SR BOLD 4 WEEK
</t>
      </text>
    </comment>
    <comment authorId="0" ref="L8">
      <text>
        <t xml:space="preserve">£20.00 = 27BLA#2 ADD FUNDS
£19.00 = 84DD#3??
£20.00 = 27BLA
£25.20 = 84DD
</t>
      </text>
    </comment>
    <comment authorId="0" ref="M8">
      <text>
        <t xml:space="preserve">£19.00 = 27BLA#2 AD SPAREROOM
£20.00 = FEATURED AD TOP UP
£19.00 = 4WS#7 AD SPAREROOM
£25.20 = FEATURED AD TOP UP
</t>
      </text>
    </comment>
    <comment authorId="0" ref="F9">
      <text>
        <t xml:space="preserve">£50 (£47 IN 2024-25) PER CAMPAIGN SPENT</t>
      </text>
    </comment>
    <comment authorId="0" ref="G9">
      <text>
        <t xml:space="preserve">£50 (£47 IN 2024-25) PER CAMPAIGN SPENT</t>
      </text>
    </comment>
    <comment authorId="0" ref="K9">
      <text>
        <t xml:space="preserve">VIEWBER £46.80</t>
      </text>
    </comment>
    <comment authorId="0" ref="L9">
      <text>
        <t xml:space="preserve">27BLA#2 VIEWBER (SECURITY GUARD!)</t>
      </text>
    </comment>
    <comment authorId="0" ref="M9">
      <text>
        <t xml:space="preserve">£230.00 CHESTER INVENTORIES JAN
£46.80 VIEWBER 4WS#7</t>
      </text>
    </comment>
    <comment authorId="0" ref="I10">
      <text>
        <t xml:space="preserve">£3,547.79 = SAN MC
£   540.38 = AMEX
£   500.00 = JAJA
£       9.46 = LLOYDS</t>
      </text>
    </comment>
    <comment authorId="0" ref="J10">
      <text>
        <t xml:space="preserve">£1,056.77 = JOINT TF NOV
£   441.44 = JOINT TF DEC (EARLY)</t>
      </text>
    </comment>
    <comment authorId="0" ref="L10">
      <text>
        <t xml:space="preserve">£   241.50 = ICAEW FUNDING
£1,659.73 = JAJA
£1,659.35 = SAN MC
£2,463.39 = AMEX
£   500.00 = SAN MC
</t>
      </text>
    </comment>
    <comment authorId="0" ref="M10">
      <text>
        <t xml:space="preserve">£0 = JAJA
£0 = SAN MC
£3,046.98 = AMEX
£1,680.67 = CX
£   200.00 = SAN PERSONAL</t>
      </text>
    </comment>
    <comment authorId="0" ref="F11">
      <text>
        <t xml:space="preserve">INTERBANK BETWEEN SANTANDER &amp; STARLING = NIL
INTERCOMPANY = FUNDING FOR LANDBAY. ACCOUNTED FOR BELOW ON DAY 29-30</t>
      </text>
    </comment>
    <comment authorId="0" ref="G11">
      <text>
        <t xml:space="preserve">INTERBANK BETWEEN SANTANDER &amp; STARLING = NIL
INTERCOMPANY = FUNDING FOR LANDBAY. ACCOUNTED FOR BELOW ON DAY 29-30</t>
      </text>
    </comment>
    <comment authorId="0" ref="J11">
      <text>
        <t xml:space="preserve">TRANSFER YOUCO TO STARLING £1,282.76 FOR HAMPERS</t>
      </text>
    </comment>
    <comment authorId="0" ref="L11">
      <text>
        <t xml:space="preserve">£0 NET = (£100 YOUCO-&gt; STARLING)</t>
      </text>
    </comment>
    <comment authorId="0" ref="M11">
      <text>
        <t xml:space="preserve">REPLIT AI BUS DEV = £13.23
STARLING SANTANDER FUNDING = £0.00 (£100-£100)</t>
      </text>
    </comment>
    <comment authorId="0" ref="L13">
      <text>
        <t xml:space="preserve">£46.20 SUSPENSE
£58.08 DINNER ATW ELECTRICAL BUSDEV</t>
      </text>
    </comment>
    <comment authorId="0" ref="I42">
      <text>
        <t xml:space="preserve">£326.61 TEJA (RECOVER FROM DEPOSIT)
£370.16 KATIE LOWRY</t>
      </text>
    </comment>
    <comment authorId="0" ref="I59">
      <text>
        <t xml:space="preserve">DAY 1 AND DAY 31</t>
      </text>
    </comment>
    <comment authorId="0" ref="L59">
      <text>
        <t xml:space="preserve">FEBRUARY CHARGE</t>
      </text>
    </comment>
    <comment authorId="0" ref="I60">
      <text>
        <t xml:space="preserve">DAY 1 AND DAY 31</t>
      </text>
    </comment>
    <comment authorId="0" ref="L60">
      <text>
        <t xml:space="preserve">FEBRUARY CHARGE</t>
      </text>
    </comment>
    <comment authorId="0" ref="I79">
      <text>
        <t xml:space="preserve">£4.37 NON RECURRING ONE OFF CLOSURE CHARGE FROM DWR CYMRU</t>
      </text>
    </comment>
    <comment authorId="0" ref="I122">
      <text>
        <t xml:space="preserve">CHARGE DAY 2 AND DAY 30</t>
      </text>
    </comment>
    <comment authorId="0" ref="L122">
      <text>
        <t xml:space="preserve">FEBRUARY CHARGE</t>
      </text>
    </comment>
    <comment authorId="0" ref="E131">
      <text>
        <t xml:space="preserve">PERSONAL OR CORPORATE?</t>
      </text>
    </comment>
    <comment authorId="0" ref="F131">
      <text>
        <t xml:space="preserve">ANNUAL</t>
      </text>
    </comment>
    <comment authorId="0" ref="G131">
      <text>
        <t xml:space="preserve">ANNUAL</t>
      </text>
    </comment>
    <comment authorId="0" ref="B132">
      <text>
        <t xml:space="preserve">ANNUAL </t>
      </text>
    </comment>
    <comment authorId="0" ref="B148">
      <text>
        <t xml:space="preserve">ANNUAL </t>
      </text>
    </comment>
    <comment authorId="0" ref="B149">
      <text>
        <t xml:space="preserve">ANNUAL </t>
      </text>
    </comment>
    <comment authorId="0" ref="B150">
      <text>
        <t xml:space="preserve">ANNUAL </t>
      </text>
    </comment>
    <comment authorId="0" ref="B151">
      <text>
        <t xml:space="preserve">ANNUAL </t>
      </text>
    </comment>
    <comment authorId="0" ref="F151">
      <text>
        <t xml:space="preserve">ANNUAL</t>
      </text>
    </comment>
    <comment authorId="0" ref="G151">
      <text>
        <t xml:space="preserve">ANNUAL</t>
      </text>
    </comment>
    <comment authorId="0" ref="F152">
      <text>
        <t xml:space="preserve">WEEKLY CHARGE (BILLED WEEKLY, FORTNIGHTLY, OTHER) iNCLUDE MATERIALS/NOT, </t>
      </text>
    </comment>
    <comment authorId="0" ref="G152">
      <text>
        <t xml:space="preserve">WEEKLY CHARGE (BILLED WEEKLY, FORTNIGHTLY, OTHER) iNCLUDE MATERIALS/NOT, </t>
      </text>
    </comment>
    <comment authorId="0" ref="I152">
      <text>
        <t xml:space="preserve">£  96.00 SEEKERS PEST (26BL/C)
£220.46 DEVA PM MARK
£720.00 PROPERTY PAC
£    9.99 LIGHTBULB 84DD STOCK
£590.00 AtoZ PIOTR
£  20.95 84DD#3 WC SEAT AMZ
</t>
      </text>
    </comment>
    <comment authorId="0" ref="J152">
      <text>
        <t xml:space="preserve">£288.00 SEEKERS PEST (10KG)
£219.31 DEVA PM MARK
£    9.99 LIGHTBULB 16RC STOCK
£260.00 KEITH LLOYD 4WS HEAT
£  85.00 A R J ELECTRICAL (32LFR DRYER HEAT ELEMENT)
£217,46 DEVA PM MARK
£  19.82 SHOWER HEAD 10KG#1
</t>
      </text>
    </comment>
    <comment authorId="0" ref="K152">
      <text>
        <t xml:space="preserve">£228.00 MERSEYROD
£  20.00 BRIGHT &amp; BEAUTIFUL 26BLA#1 WC LEAK
£394.64 TOM TJ JOINERY
£  48.00 NIC'S GUTTERS 16RC
</t>
      </text>
    </comment>
    <comment authorId="0" ref="L152">
      <text>
        <t xml:space="preserve">£301.20 = 4WS#3 MATTRESS
£  95.00 = 4WS OVEN
£1,1012.97 = PIOTR (NOV DEC) 84DD/4WS
£80.00 = PLUMBER 4WS BOILER DIAGNOSTIC
£60.00 = ATW ELECTRICAL (4WS INSTALL DKS)
</t>
      </text>
    </comment>
    <comment authorId="0" ref="M152">
      <text>
        <t xml:space="preserve">£283.20 = LLFC BED BASE 4WS#3
£219.57 = MARK DEVA (26BLA/B &amp; 27BLA)
£20.95 LOST KEY 4WS#7 [REIMBURSE]
£237.56 = MARK DEVA (26BLA/B &amp; 84DD)
£425.00 MALTBY'S 32LFR HALLWAY
£570.00 POWER FLUSH 4WS
(£20.95) LOST KEY 4WS#7 [REIMBURSED]</t>
      </text>
    </comment>
    <comment authorId="0" ref="B155">
      <text>
        <t xml:space="preserve">ANNUAL </t>
      </text>
    </comment>
    <comment authorId="0" ref="F155">
      <text>
        <t xml:space="preserve">ANNUAL 14th JULY</t>
      </text>
    </comment>
    <comment authorId="0" ref="G155">
      <text>
        <t xml:space="preserve">ANNUAL 14th JULY</t>
      </text>
    </comment>
    <comment authorId="0" ref="F170">
      <text>
        <t xml:space="preserve"> ANNUAL MEMBERSHIP FEE</t>
      </text>
    </comment>
    <comment authorId="0" ref="G170">
      <text>
        <t xml:space="preserve"> ANNUAL MEMBERSHIP FEE</t>
      </text>
    </comment>
    <comment authorId="0" ref="C171">
      <text>
        <t xml:space="preserve">28th OF THE MONTH (UNLESS THIS FALLS AT WEEKEND, THEN FOLLOWING MONDAY)</t>
      </text>
    </comment>
    <comment authorId="0" ref="I172">
      <text>
        <t xml:space="preserve">PAID ON 1 NOV</t>
      </text>
    </comment>
    <comment authorId="0" ref="L172">
      <text>
        <t xml:space="preserve">PAID 1 FEB</t>
      </text>
    </comment>
    <comment authorId="0" ref="C173">
      <text>
        <t xml:space="preserve">28 june 2025 = Saturday ... 1902 tide DD ... Then 30 June = 826 , 1027 so all fall on Monday working day</t>
      </text>
    </comment>
    <comment authorId="0" ref="M173">
      <text>
        <t xml:space="preserve">2 MARCH 2026</t>
      </text>
    </comment>
    <comment authorId="0" ref="M174">
      <text>
        <t xml:space="preserve">2 MARCH 2026</t>
      </text>
    </comment>
    <comment authorId="0" ref="C175">
      <text>
        <t xml:space="preserve">LAST DAY OF THE MONTH (UNLESS THIS FALLS AT WEEKEND, THEN FOLLOWING MONDAY)</t>
      </text>
    </comment>
    <comment authorId="0" ref="J175">
      <text>
        <t xml:space="preserve">PAID ON 01.12</t>
      </text>
    </comment>
    <comment authorId="0" ref="L175">
      <text>
        <t xml:space="preserve">PAID 1 FEB</t>
      </text>
    </comment>
    <comment authorId="0" ref="M175">
      <text>
        <t xml:space="preserve">2 MARCH 226</t>
      </text>
    </comment>
    <comment authorId="0" ref="B177">
      <text>
        <t xml:space="preserve">ANNUAL RECEIPT</t>
      </text>
    </comment>
    <comment authorId="0" ref="F177">
      <text>
        <t xml:space="preserve">ANNUAL</t>
      </text>
    </comment>
    <comment authorId="0" ref="G177">
      <text>
        <t xml:space="preserve">ANNUAL</t>
      </text>
    </comment>
    <comment authorId="0" ref="F179">
      <text>
        <t xml:space="preserve">HF RESOLUTION LTD
ANNUAL MEMBERSHIP FEE</t>
      </text>
    </comment>
    <comment authorId="0" ref="G179">
      <text>
        <t xml:space="preserve">HF RESOLUTION LTD
ANNUAL MEMBERSHIP FEE</t>
      </text>
    </comment>
    <comment authorId="0" ref="F182">
      <text>
        <t xml:space="preserve">EICR TESTING = £200
NICEIC TESTING EVERY FIVE YEARS
20250718 = JUN 25 = 84DD</t>
      </text>
    </comment>
    <comment authorId="0" ref="G182">
      <text>
        <t xml:space="preserve">ANNUAL EL TESTING = £40
20250823 = JUL 23 = 84DD
20251003 = SEP 03 = 16RC
20251003 = SEP 03 = 10KG
20251003 = SEP 03 = 32LFR
</t>
      </text>
    </comment>
    <comment authorId="0" ref="R182">
      <text>
        <t xml:space="preserve">4WS JULY 2026</t>
      </text>
    </comment>
    <comment authorId="0" ref="F183">
      <text>
        <t xml:space="preserve">ANNUAL EL TESTING = £40
20250823 = JUL 23 = 84DD
20251003 = SEP 03 = 16RC
20251003 = SEP 03 = 10KG
20251003 = SEP 03 = 32LFR
</t>
      </text>
    </comment>
    <comment authorId="0" ref="G183">
      <text>
        <t xml:space="preserve">ANNUAL EL TESTING = £40
20250823 = JUL 23 = 84DD
20251003 = SEP 03 = 16RC
20251003 = SEP 03 = 10KG
20251003 = SEP 03 = 32LFR
</t>
      </text>
    </comment>
    <comment authorId="0" ref="K183">
      <text>
        <t xml:space="preserve">4WS EL * FD
</t>
      </text>
    </comment>
    <comment authorId="0" ref="F184">
      <text>
        <t xml:space="preserve">ANNUAL PAT TESTING = £70
20250718 = JUN 25 = 84DD
20250828 = JUL 28 = 10KG</t>
      </text>
    </comment>
    <comment authorId="0" ref="G184">
      <text>
        <t xml:space="preserve">ANNUAL EL TESTING = £40
20250823 = JUL 23 = 84DD
20251003 = SEP 03 = 16RC
20251003 = SEP 03 = 10KG
20251003 = SEP 03 = 32LFR
</t>
      </text>
    </comment>
    <comment authorId="0" ref="F185">
      <text>
        <t xml:space="preserve">ANNUAL GAS SAFETY TESTING = £86.40/PPTY
20250309 = Feb 25 = 16RC
20250610 = May 25 = 10KG
20250713 = JUN 13 = 4WS
20250713 = JUN 13 = 84DD
20250908 = AUG 08 = 32LFR</t>
      </text>
    </comment>
    <comment authorId="0" ref="G185">
      <text>
        <t xml:space="preserve">ANNUAL GAS SAFETY TESTING = £86.40/PPTY
20250309 = Feb 25 = 16RC
20250610 = May 25 = 10KG
20250713 = JUN 13 = 4WS
20250713 = JUN 13 = 84DD
20250908 = AUG 08 = 32LFR</t>
      </text>
    </comment>
    <comment authorId="0" ref="L185">
      <text>
        <t xml:space="preserve">26BL A-B-C GAS SAFETY</t>
      </text>
    </comment>
    <comment authorId="0" ref="N186">
      <text>
        <t xml:space="preserve">OVEN CLEANING
26BL(ABC) - 3 OVENS - £150
84DD - 2 OVENS - £100
4WS - 2 OVENS - £100
32LFR - 2 OVENS - £100
10KG - 1 OVEN - £50</t>
      </text>
    </comment>
    <comment authorId="0" ref="T186">
      <text>
        <t xml:space="preserve">OVEN CLEANING
26BL(ABC) - 3 OVENS - £150
84DD - 2 OVENS - £100
4WS - 2 OVENS - £100
32LFR - 2 OVENS - £100
10KG - 1 OVEN - £50</t>
      </text>
    </comment>
    <comment authorId="0" ref="J187">
      <text>
        <t xml:space="preserve">10KG HOUSEBOOK DESIGN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RECONCILED</t>
      </text>
    </comment>
    <comment authorId="0" ref="A4">
      <text>
        <t xml:space="preserve">£7,000.00 LIMIT</t>
      </text>
    </comment>
    <comment authorId="0" ref="A5">
      <text>
        <t xml:space="preserve">£7,200.00 LIMIT</t>
      </text>
    </comment>
    <comment authorId="0" ref="C5">
      <text>
        <t xml:space="preserve">£2,700 BALANCE TRANSFER TO JAJA
£3,000 BALANCE TRANSFER TO AMEX</t>
      </text>
    </comment>
    <comment authorId="0" ref="A6">
      <text>
        <t xml:space="preserve">£24,000.00 LIMIT
= TRAVEL TRANSACTIONS AND ONLINE</t>
      </text>
    </comment>
    <comment authorId="0" ref="C6">
      <text>
        <t xml:space="preserve">DISPUTES
£44.42 = GURU DOCS (AFTER £1 USE)
£35.95 = NEXT 2ND CHARGE AFTER £31.00
</t>
      </text>
    </comment>
    <comment authorId="0" ref="F15">
      <text>
        <t xml:space="preserve">NET OF PGR TRANSFER</t>
      </text>
    </comment>
    <comment authorId="0" ref="G15">
      <text>
        <t xml:space="preserve">NET OF PGR TRANSFER</t>
      </text>
    </comment>
    <comment authorId="0" ref="H15">
      <text>
        <t xml:space="preserve">NET OF PGR TRANSFER</t>
      </text>
    </comment>
    <comment authorId="0" ref="I15">
      <text>
        <t xml:space="preserve">NET OF PGR TRANSFER</t>
      </text>
    </comment>
    <comment authorId="0" ref="J15">
      <text>
        <t xml:space="preserve">NET OF PGR TRANSFER</t>
      </text>
    </comment>
    <comment authorId="0" ref="K15">
      <text>
        <t xml:space="preserve">NET OF PGR TRANSFER</t>
      </text>
    </comment>
    <comment authorId="0" ref="L15">
      <text>
        <t xml:space="preserve">NET OF PGR TRANSFER</t>
      </text>
    </comment>
    <comment authorId="0" ref="M15">
      <text>
        <t xml:space="preserve">NET OF PGR TRANSFER</t>
      </text>
    </comment>
    <comment authorId="0" ref="N15">
      <text>
        <t xml:space="preserve">NET OF PGR TRANSFER</t>
      </text>
    </comment>
    <comment authorId="0" ref="O15">
      <text>
        <t xml:space="preserve">NET OF PGR TRANSFER</t>
      </text>
    </comment>
    <comment authorId="0" ref="F16">
      <text>
        <t xml:space="preserve">£1,500 JOINT ACCOUNT
£1,500 FOOD &amp; OTHER PERSONAL</t>
      </text>
    </comment>
    <comment authorId="0" ref="G16">
      <text>
        <t xml:space="preserve">£1,500 JOINT ACCOUNT
£1,500 FOOD &amp; OTHER PERSONAL</t>
      </text>
    </comment>
    <comment authorId="0" ref="H16">
      <text>
        <t xml:space="preserve">£1,500 JOINT ACCOUNT
£1,500 FOOD &amp; OTHER PERSONAL</t>
      </text>
    </comment>
    <comment authorId="0" ref="I16">
      <text>
        <t xml:space="preserve">£1,500 JOINT ACCOUNT
£1,500 FOOD &amp; OTHER PERSONAL</t>
      </text>
    </comment>
    <comment authorId="0" ref="J16">
      <text>
        <t xml:space="preserve">£1,500 JOINT ACCOUNT
£1,500 FOOD &amp; OTHER PERSONAL</t>
      </text>
    </comment>
    <comment authorId="0" ref="K16">
      <text>
        <t xml:space="preserve">£1,500 JOINT ACCOUNT
£1,500 FOOD &amp; OTHER PERSONAL</t>
      </text>
    </comment>
    <comment authorId="0" ref="L16">
      <text>
        <t xml:space="preserve">£1,500 JOINT ACCOUNT
£1,500 FOOD &amp; OTHER PERSONAL</t>
      </text>
    </comment>
    <comment authorId="0" ref="M16">
      <text>
        <t xml:space="preserve">£1,500 JOINT ACCOUNT
£1,500 FOOD &amp; OTHER PERSONAL</t>
      </text>
    </comment>
    <comment authorId="0" ref="N16">
      <text>
        <t xml:space="preserve">£1,500 JOINT ACCOUNT
£1,500 FOOD &amp; OTHER PERSONAL</t>
      </text>
    </comment>
    <comment authorId="0" ref="O16">
      <text>
        <t xml:space="preserve">£1,500 JOINT ACCOUNT
£1,500 FOOD &amp; OTHER PERSONAL</t>
      </text>
    </comment>
    <comment authorId="0" ref="C25">
      <text>
        <t xml:space="preserve">AIRBNB = £1,177.37 (BATH)
OUTBOUND FLIGHTS EASY = £442.20
ULTIMATE ACTIVITY CAMP = £940
</t>
      </text>
    </comment>
  </commentList>
</comments>
</file>

<file path=xl/sharedStrings.xml><?xml version="1.0" encoding="utf-8"?>
<sst xmlns="http://schemas.openxmlformats.org/spreadsheetml/2006/main" count="2946" uniqueCount="586">
  <si>
    <t>ACCT</t>
  </si>
  <si>
    <t>SUM of   Nov 2026</t>
  </si>
  <si>
    <t>Grand Total</t>
  </si>
  <si>
    <t>#</t>
  </si>
  <si>
    <t>rec</t>
  </si>
  <si>
    <t>Date</t>
  </si>
  <si>
    <t>Bank</t>
  </si>
  <si>
    <t>REC DESC</t>
  </si>
  <si>
    <t>Description</t>
  </si>
  <si>
    <t>FCF</t>
  </si>
  <si>
    <t>Balance</t>
  </si>
  <si>
    <t>MONTHLY CF</t>
  </si>
  <si>
    <t>SAN</t>
  </si>
  <si>
    <t>AVIVA</t>
  </si>
  <si>
    <t xml:space="preserve">AVIVA </t>
  </si>
  <si>
    <t>MARSH COMMERCIAL</t>
  </si>
  <si>
    <t>BRIGHT</t>
  </si>
  <si>
    <t>BRIGHT &amp; BEAUTIFUL 10KG</t>
  </si>
  <si>
    <t>BRIGHT &amp; BEAUTIFUL 16RC</t>
  </si>
  <si>
    <t>BRIGHT &amp; BEAUTIFUL 26BLA</t>
  </si>
  <si>
    <t>BRIGHT &amp; BEAUTIFUL 26BLB</t>
  </si>
  <si>
    <t>BRIGHT &amp; BEAUTIFUL 26BLC</t>
  </si>
  <si>
    <t>BRIGHT &amp; BEAUTIFUL 27BLA</t>
  </si>
  <si>
    <t>BRIGHT &amp; BEAUTIFUL 27BLB</t>
  </si>
  <si>
    <t>BRIGHT &amp; BEAUTIFUL 32LFR</t>
  </si>
  <si>
    <t>BRIGHT &amp; BEAUTIFUL 4WS</t>
  </si>
  <si>
    <t>BRIGHT &amp; BEAUTIFUL 84DD</t>
  </si>
  <si>
    <t>BT</t>
  </si>
  <si>
    <t>BRITISH TELECOM 26BLA</t>
  </si>
  <si>
    <t>BRITISH TELECOM 26BLC</t>
  </si>
  <si>
    <t>D&amp;G</t>
  </si>
  <si>
    <t xml:space="preserve">D&amp;G APPLIANCE CARE </t>
  </si>
  <si>
    <t>D&amp;G APPLIANCE CARE 4WS</t>
  </si>
  <si>
    <t>EON</t>
  </si>
  <si>
    <t>EON (27A)</t>
  </si>
  <si>
    <t>EON (27B)</t>
  </si>
  <si>
    <t>EON (27D)</t>
  </si>
  <si>
    <t>HOXTON</t>
  </si>
  <si>
    <t>HOXTON MIX</t>
  </si>
  <si>
    <t>LENDINVEST</t>
  </si>
  <si>
    <t>LENDINVEST 4WS</t>
  </si>
  <si>
    <t>NETFLIX</t>
  </si>
  <si>
    <t>NETFLIX 16RC [SANTANDER]</t>
  </si>
  <si>
    <t>STAR</t>
  </si>
  <si>
    <t>NETFLIX 32LFR [STARLING]</t>
  </si>
  <si>
    <t>OCTOPUS</t>
  </si>
  <si>
    <t>OCTOPUS ENERGY 10KG</t>
  </si>
  <si>
    <t>OCTOPUS ENERGY 16RC</t>
  </si>
  <si>
    <t>OCTOPUS ENERGY 26BLA</t>
  </si>
  <si>
    <t xml:space="preserve">OCTOPUS ENERGY 26BLB </t>
  </si>
  <si>
    <t>OCTOPUS ENERGY 26BLC</t>
  </si>
  <si>
    <t>OCTOPUS ENERGY 32LFR</t>
  </si>
  <si>
    <t>OCTOPUS ENERGY 4WS</t>
  </si>
  <si>
    <t>OCTOPUS ENERGY 84DD</t>
  </si>
  <si>
    <t>OCTOPUS ENERGY CORP (26BL)</t>
  </si>
  <si>
    <t>OCTOPUS ENERGY CORP (27BL)</t>
  </si>
  <si>
    <t>PREMIUM CREDIT</t>
  </si>
  <si>
    <t xml:space="preserve">PREMIUM CREDIT </t>
  </si>
  <si>
    <t>RENT</t>
  </si>
  <si>
    <t xml:space="preserve">RENT 10KG#1 </t>
  </si>
  <si>
    <t>RENT 10KG#2</t>
  </si>
  <si>
    <t>RENT 10KG#3</t>
  </si>
  <si>
    <t>RENT 10KG#4</t>
  </si>
  <si>
    <t>RENT 10KG#5</t>
  </si>
  <si>
    <t>RENT 16RC#1</t>
  </si>
  <si>
    <t>RENT 16RC#2</t>
  </si>
  <si>
    <t>RENT 16RC#3</t>
  </si>
  <si>
    <t>RENT 16RC#4</t>
  </si>
  <si>
    <t>RENT 16RC#5</t>
  </si>
  <si>
    <t>RENT 26BLA#1</t>
  </si>
  <si>
    <t xml:space="preserve">RENT 26BLA#2 </t>
  </si>
  <si>
    <t xml:space="preserve">RENT 26BLB#1 </t>
  </si>
  <si>
    <t xml:space="preserve">RENT 26BLB#2 </t>
  </si>
  <si>
    <t xml:space="preserve">RENT 26BLC#1 </t>
  </si>
  <si>
    <t xml:space="preserve">RENT 26BLC#2 </t>
  </si>
  <si>
    <t>RENT 27BLA#1</t>
  </si>
  <si>
    <t xml:space="preserve">RENT 27BLA#2 </t>
  </si>
  <si>
    <t xml:space="preserve">RENT 27BLB#1 </t>
  </si>
  <si>
    <t xml:space="preserve">RENT 27BLB#2 </t>
  </si>
  <si>
    <t xml:space="preserve">RENT 27BLC#1 </t>
  </si>
  <si>
    <t>RENT 27BLD#1</t>
  </si>
  <si>
    <t xml:space="preserve">RENT 32LFR#2 </t>
  </si>
  <si>
    <t>RENT 32LFR#3</t>
  </si>
  <si>
    <t>RENT 32LFR#4</t>
  </si>
  <si>
    <t>RENT 32LFR#5</t>
  </si>
  <si>
    <t>RENT 32LFR#6</t>
  </si>
  <si>
    <t>RENT 32LFR#7</t>
  </si>
  <si>
    <t xml:space="preserve">RENT 4WS#1 </t>
  </si>
  <si>
    <t>RENT 4WS#2</t>
  </si>
  <si>
    <t>RENT 4WS#3</t>
  </si>
  <si>
    <t>RENT 4WS#4</t>
  </si>
  <si>
    <t>RENT 4WS#5</t>
  </si>
  <si>
    <t>RENT 4WS#6</t>
  </si>
  <si>
    <t>RENT 4WS#7</t>
  </si>
  <si>
    <t xml:space="preserve">RENT 84DD#1 </t>
  </si>
  <si>
    <t>RENT 84DD#2</t>
  </si>
  <si>
    <t>RENT 84DD#3</t>
  </si>
  <si>
    <t>RENT 84DD#4</t>
  </si>
  <si>
    <t>RENT 84DD#5</t>
  </si>
  <si>
    <t>RENT 84DD#6</t>
  </si>
  <si>
    <t>SEVERN</t>
  </si>
  <si>
    <t>SEVERN TRENT 10KG</t>
  </si>
  <si>
    <t>SEVERN TRENT 16RC</t>
  </si>
  <si>
    <t>SEVERN TRENT 26BLA</t>
  </si>
  <si>
    <t>SEVERN TRENT 26BLB</t>
  </si>
  <si>
    <t>SEVERN TRENT 26BLC</t>
  </si>
  <si>
    <t>SEVERN TRENT 27BLA</t>
  </si>
  <si>
    <t>SEVERN TRENT 27BLB</t>
  </si>
  <si>
    <t>SEVERN TRENT 27BLC</t>
  </si>
  <si>
    <t>SEVERN TRENT 27BLD</t>
  </si>
  <si>
    <t>SEVERN TRENT 32LFR</t>
  </si>
  <si>
    <t>SEVERN TRENT 4WS</t>
  </si>
  <si>
    <t>SEVERN TRENT 84DD</t>
  </si>
  <si>
    <t>TAXCALC</t>
  </si>
  <si>
    <t>TV LICENSING</t>
  </si>
  <si>
    <t>TV LICENSING 10KG</t>
  </si>
  <si>
    <t>TV LICENSING 16RC</t>
  </si>
  <si>
    <t>TV LICENSING 26BLA</t>
  </si>
  <si>
    <t>TV LICENSING 26BLB</t>
  </si>
  <si>
    <t>TV LICENSING 26BLC</t>
  </si>
  <si>
    <t>TV LICENSING 27BLA</t>
  </si>
  <si>
    <t>TV LICENSING 27BLB</t>
  </si>
  <si>
    <t>TV LICENSING 27BLC</t>
  </si>
  <si>
    <t>TV LICENSING 32LFR</t>
  </si>
  <si>
    <t>TV LICENSING 4WS</t>
  </si>
  <si>
    <t>TV LICENSING 84DD</t>
  </si>
  <si>
    <t>CWAC</t>
  </si>
  <si>
    <t>CHESHIRE WEST &amp; CHESTER COUNCIL 10KG</t>
  </si>
  <si>
    <t>CHESHIRE WEST &amp; CHESTER COUNCIL 16RC</t>
  </si>
  <si>
    <t>CHESHIRE WEST &amp; CHESTER COUNCIL 26BL/27BL</t>
  </si>
  <si>
    <t>CHESHIRE WEST &amp; CHESTER COUNCIL 32LFR</t>
  </si>
  <si>
    <t>CHESHIRE WEST &amp; CHESTER COUNCIL 4WS</t>
  </si>
  <si>
    <t>CHESHIRE WEST &amp; CHESTER COUNCIL 84DD</t>
  </si>
  <si>
    <t>GOOGLE</t>
  </si>
  <si>
    <t>GOOGLE WORKSPACE</t>
  </si>
  <si>
    <t>GOOGLE VOICE</t>
  </si>
  <si>
    <t>VODAFONE</t>
  </si>
  <si>
    <t>PRECISE</t>
  </si>
  <si>
    <t>PRECISE MORTGAGES 32LFR</t>
  </si>
  <si>
    <t>NETFLIX 10KG [STARLING]</t>
  </si>
  <si>
    <t>ARTHUR</t>
  </si>
  <si>
    <t>ARTHUR (FIX FLO)</t>
  </si>
  <si>
    <t>LANDLORD BROADBAND</t>
  </si>
  <si>
    <t>LANDLORD BROADBAND 10KG</t>
  </si>
  <si>
    <t>LANDLORD BROADBAND 16RC</t>
  </si>
  <si>
    <t>LANDLORD BROADBAND 32LFR</t>
  </si>
  <si>
    <t>LANDLORD BROADBAND 4WS</t>
  </si>
  <si>
    <t>LANDLORD BROADBAND 84DD</t>
  </si>
  <si>
    <t>SANTANDER</t>
  </si>
  <si>
    <t>SANTANDER BUSINESS (BB LOAN)</t>
  </si>
  <si>
    <t>VIRGIN</t>
  </si>
  <si>
    <t>VIRGIN BROADBAND 27BLA</t>
  </si>
  <si>
    <t>LAST PASS</t>
  </si>
  <si>
    <t>KENT RELIANCE</t>
  </si>
  <si>
    <t>KENT RELIANCE 10KG</t>
  </si>
  <si>
    <t>NETFLIX 84DD</t>
  </si>
  <si>
    <t>TIMEDOCTOR</t>
  </si>
  <si>
    <t>TIME DOCTOR</t>
  </si>
  <si>
    <t>SCRIBE</t>
  </si>
  <si>
    <t>XERO</t>
  </si>
  <si>
    <t>SANTANDER BUSINESS (FEES &amp; CHARGES)</t>
  </si>
  <si>
    <t>VIRGIN BROADBAND 26BLB</t>
  </si>
  <si>
    <t>VIRGIN BROADBAND 27BLB</t>
  </si>
  <si>
    <t>NETFLIX 4WS</t>
  </si>
  <si>
    <t>SKY</t>
  </si>
  <si>
    <t>SKY 27BLD</t>
  </si>
  <si>
    <t>PROPERTYDATA</t>
  </si>
  <si>
    <t xml:space="preserve">PROPERTY DATA </t>
  </si>
  <si>
    <t>PROPERTYMARK</t>
  </si>
  <si>
    <t>EIGROUP</t>
  </si>
  <si>
    <t>LANDBAY</t>
  </si>
  <si>
    <t>MONOCROM (26BL)</t>
  </si>
  <si>
    <t>KENT RELIANCE 16RC</t>
  </si>
  <si>
    <t>KENT RELIANCE 27BL</t>
  </si>
  <si>
    <t xml:space="preserve">CASHBACK FOR CREDIT TURNOVER AT 3.00% </t>
  </si>
  <si>
    <t>ARTHUR (MONTHLY SUBSCRIPTION CHARGE)</t>
  </si>
  <si>
    <t>INTEREST PAID AFTER TAX</t>
  </si>
  <si>
    <t>LANDBAY (84DD)</t>
  </si>
  <si>
    <t>-</t>
  </si>
  <si>
    <t>REFERENCES</t>
  </si>
  <si>
    <t>TENANCIES: REFERENCES (ARTHUR)</t>
  </si>
  <si>
    <t>TENANCIES: CLEANING ROOMS (BRIGHT &amp; BEAUTIFUL)</t>
  </si>
  <si>
    <t xml:space="preserve">LETTINGS </t>
  </si>
  <si>
    <t>TENANCIES: VIEWINGS &amp; CHECK INS/OUTS</t>
  </si>
  <si>
    <t>DEPOSIT</t>
  </si>
  <si>
    <t>TENANCIES: DEPOSITS IN/OUT</t>
  </si>
  <si>
    <t>DLA</t>
  </si>
  <si>
    <t xml:space="preserve">TRANSFERS: DIRECTOR LOAN </t>
  </si>
  <si>
    <t>MAINTENANCE</t>
  </si>
  <si>
    <t>MAINTENANCE SERVICES</t>
  </si>
  <si>
    <t>MONABRI</t>
  </si>
  <si>
    <t xml:space="preserve">DEVELOPMENT </t>
  </si>
  <si>
    <t>CON</t>
  </si>
  <si>
    <t>OPBAL</t>
  </si>
  <si>
    <t>OPENING BANK BALANCES</t>
  </si>
  <si>
    <t>GARDENING</t>
  </si>
  <si>
    <t>PAUL'S GARDEN SERVICES</t>
  </si>
  <si>
    <t>RENT: PREPAID PRIOR MONTH</t>
  </si>
  <si>
    <t>SPAREROOM</t>
  </si>
  <si>
    <t>TENANCIES: ADS (SPAREROOM)</t>
  </si>
  <si>
    <t>TDS</t>
  </si>
  <si>
    <t xml:space="preserve">TENANCIES: DEPOSITS (TDS) [STARLING] </t>
  </si>
  <si>
    <t>TRANSFERS</t>
  </si>
  <si>
    <t xml:space="preserve">TRANSFERS: INTERBANK &amp; INTERCOMPANY </t>
  </si>
  <si>
    <t>CLBAL</t>
  </si>
  <si>
    <t>CLOSING BANK BALANCES</t>
  </si>
  <si>
    <t>DIRECT DEBIT PAYMENT TO AVIVA REF P277707326-B, MANDATE NO 0015</t>
  </si>
  <si>
    <t>DIRECT DEBIT PAYMENT TO AVIVA LIFE REF BPL05X0F0-04K48H, MANDATE NO 0076</t>
  </si>
  <si>
    <t>BILL PAYMENT TO BRIGHT BEAUTIF REFERENCE INV-0331, MANDATE NO00787</t>
  </si>
  <si>
    <t>REGULAR TRANSFER PAYMENT TO ACCOUNT 090128 96861182, MANDATE NO 564</t>
  </si>
  <si>
    <t>DIRECT DEBIT PAYMENT TO D&amp;G APPLIANCE CARE REF AZ2T0002887, MANDATE NO 0103</t>
  </si>
  <si>
    <t>DIRECT DEBIT PAYMENT TO D&amp;G APPLIANCE CARE REF ABH20079931, MANDATE NO 0072</t>
  </si>
  <si>
    <t>FASTER PAYMENTS RECEIPT REF.TOM DAVIES DEPOSIT FROM MICHELLE DAVIES</t>
  </si>
  <si>
    <t>DIRECT DEBIT PAYMENT TO E.ON NEXT LTD REF A-F8569CBB-001, MANDATE NO 0133</t>
  </si>
  <si>
    <t>DIRECT DEBIT PAYMENT TO E.ON NEXT LTD REF A-B1661B4C-001, MANDATE NO 0131</t>
  </si>
  <si>
    <t>DIRECT DEBIT PAYMENT TO E.ON NEXT LTD REF A-BEBE32A9-001, MANDATE NO 0130</t>
  </si>
  <si>
    <t>CARD PAYMENT TO THE HOXTON MIX LTD ON 30-09-2025</t>
  </si>
  <si>
    <t>DIRECT DEBIT PAYMENT TO LENDINVEST BTL LTD REF 60207413, MANDATE NO 0061</t>
  </si>
  <si>
    <t>CARD PAYMENT TO NETFLIX ON 01-10-2025</t>
  </si>
  <si>
    <t>DIRECT DEBIT PAYMENT TO OCTOPUS ENERGY REF 6412864, MANDATE NO 0124</t>
  </si>
  <si>
    <t>DIRECT DEBIT PAYMENT TO OCTOPUS ENERGY REF 5170280, MANDATE NO 0123</t>
  </si>
  <si>
    <t>DIRECT DEBIT PAYMENT TO OCTOPUS ENERGY REF 5170100, MANDATE NO 0122</t>
  </si>
  <si>
    <t>DIRECT DEBIT PAYMENT TO OCTOPUS ENERGY REF 5122540, MANDATE NO 0110</t>
  </si>
  <si>
    <t>DIRECT DEBIT PAYMENT TO OCTOPUS ENERGY REF A-90C87D45-001, MANDATE NO 0113</t>
  </si>
  <si>
    <t>DIRECT DEBIT PAYMENT TO OCTOPUS ENERGY REF A-29A4B3FE-003, MANDATE NO 0127</t>
  </si>
  <si>
    <t>DIRECT DEBIT PAYMENT TO OCTOPUS ENERGY REF A-26F63293-001, MANDATE NO 0121</t>
  </si>
  <si>
    <t>DIRECT DEBIT PAYMENT TO OCTOPUS ENERGY REF A-16FF9E82-001, MANDATE NO 0112</t>
  </si>
  <si>
    <t>DIRECT DEBIT PAYMENT TO OCTOPUS ENERGY REF A-1D659703-001, MANDATE NO 0120</t>
  </si>
  <si>
    <t>DIRECT DEBIT PAYMENT TO OCTOPUS ENERGY REF A-D9D78B72-001, MANDATE NO 0115</t>
  </si>
  <si>
    <t>DIRECT DEBIT PAYMENT TO PREMIUM CREDIT LTD REF 04C12734RSZ, MANDATE NO 0089</t>
  </si>
  <si>
    <t>FASTER PAYMENTS RECEIPT REF.RENT FROM Y ZHANG</t>
  </si>
  <si>
    <t>FASTER PAYMENTS RECEIPT REF.TOM DAVIES RENT FROM MICHELLE DAVIES</t>
  </si>
  <si>
    <t>FASTER PAYMENTS RECEIPT REF.RANA RICHMOND CRES FROM R RANA</t>
  </si>
  <si>
    <t>FASTER PAYMENTS RECEIPT REF.RENT - DAVIDCASTRO FROM CASTRO BALLE</t>
  </si>
  <si>
    <t>FASTER PAYMENTS RECEIPT REF.RENT 84 DD RM4 FROM U IGBINADOLOR</t>
  </si>
  <si>
    <t>FASTER PAYMENTS RECEIPT REF.RENT FROM D SIMPSON</t>
  </si>
  <si>
    <t>FASTER PAYMENTS RECEIPT REF.RENT FROM ARORA</t>
  </si>
  <si>
    <t>FASTER PAYMENTS RECEIPT REF.4WS/LW/RENT FROM WATTERSON LA TPM</t>
  </si>
  <si>
    <t>FASTER PAYMENTS RECEIPT REF. FROM S KAPOOR</t>
  </si>
  <si>
    <t>FASTER PAYMENTS RECEIPT REF.DARREN ROOM 1 26A FROM BERRILL D</t>
  </si>
  <si>
    <t>FASTER PAYMENTS RECEIPT REF.OCTOBER RENT FROM NICHOLAS JW</t>
  </si>
  <si>
    <t>FASTER PAYMENTS RECEIPT REF.RENT 01/10/2025 FROM SUMMERHAYE J</t>
  </si>
  <si>
    <t>FASTER PAYMENTS RECEIPT REF.RENT FROM LOWE JOE</t>
  </si>
  <si>
    <t>FASTER PAYMENTS RECEIPT REF.RENT FROM S HATHAWAY</t>
  </si>
  <si>
    <t>FASTER PAYMENTS RECEIPT REF.RENT DEPOSIT FROM SARWAR DANIEL</t>
  </si>
  <si>
    <t>FASTER PAYMENTS RECEIPT REF.ROOM 3 RENT LFR FROM METCALFE R</t>
  </si>
  <si>
    <t>FASTER PAYMENTS RECEIPT REF.RENT FROM AGAR JOSEPH</t>
  </si>
  <si>
    <t>FASTER PAYMENTS RECEIPT REF.FRANKIE KITSON FROM H KITSON</t>
  </si>
  <si>
    <t>FASTER PAYMENTS RECEIPT REF.TE1157 FROM G PAGE</t>
  </si>
  <si>
    <t>REGULAR TRANSFER FROM MISS ANJOLAOLUWA DANIELLE SANNI REFERENCE - RENT</t>
  </si>
  <si>
    <t>FASTER PAYMENTS RECEIPT REF.RENT FROM ALEXANDER MEE</t>
  </si>
  <si>
    <t>FASTER PAYMENTS RECEIPT REF.1ST RENT 26B FROM VIVIANI CAMERON</t>
  </si>
  <si>
    <t>BILL PAYMENT FROM MR FIRAS SHBAT ALSANOUSSI AWHIDA, REFERENCE FIRAS AWHIDA 26C/2</t>
  </si>
  <si>
    <t>FASTER PAYMENTS RECEIPT REF.DANIEL WOOKEY FROM D WOOKEY</t>
  </si>
  <si>
    <t>FASTER PAYMENTS RECEIPT REF.26CBLŃ1 TOM KING FROM THOMAS KING</t>
  </si>
  <si>
    <t>DIRECT DEBIT PAYMENT TO SEVERN TRENT WATER REF 9520150408, MANDATE NO 0134</t>
  </si>
  <si>
    <t>DIRECT DEBIT PAYMENT TO SEVERN TRENT WATER REF 933010073320252691, MANDATE NO 0100</t>
  </si>
  <si>
    <t>DIRECT DEBIT PAYMENT TO SEVERN TRENT WATER REF 9260113256, MANDATE NO 0031</t>
  </si>
  <si>
    <t>DIRECT DEBIT PAYMENT TO SEVERN TRENT WATER REF 8650156523, MANDATE NO 0059</t>
  </si>
  <si>
    <t>DIRECT DEBIT PAYMENT TO SEVERN TRENT WATER REF 7030788008, MANDATE NO 0012</t>
  </si>
  <si>
    <t>DIRECT DEBIT PAYMENT TO SEVERN TRENT WATER REF 655005911520252691, MANDATE NO 0099</t>
  </si>
  <si>
    <t>DIRECT DEBIT PAYMENT TO SEVERN TRENT WATER REF 3490110828, MANDATE NO 0027</t>
  </si>
  <si>
    <t>DIRECT DEBIT PAYMENT TO SEVERN TRENT WATER REF 266009415920252691, MANDATE NO 0098</t>
  </si>
  <si>
    <t>DIRECT DEBIT PAYMENT TO SEVERN TRENT WATER REF 1650063103, MANDATE NO 0052</t>
  </si>
  <si>
    <t>CARD PAYMENT TO TAXCALC.COM ON 30-09-2025</t>
  </si>
  <si>
    <t>DIRECT DEBIT PAYMENT TO TV LICENCE MBP REF 4263550293, MANDATE NO 0129</t>
  </si>
  <si>
    <t>DIRECT DEBIT PAYMENT TO TV LICENCE MBP REF 4260005194, MANDATE NO 0114</t>
  </si>
  <si>
    <t>DIRECT DEBIT PAYMENT TO TV LICENCE MBP REF 4258327543, MANDATE NO 0111</t>
  </si>
  <si>
    <t>DIRECT DEBIT PAYMENT TO TV LICENCE MBP REF 4199981569, MANDATE NO 0088</t>
  </si>
  <si>
    <t>DIRECT DEBIT PAYMENT TO TV LICENCE MBP REF 4199975207, MANDATE NO 0087</t>
  </si>
  <si>
    <t>DIRECT DEBIT PAYMENT TO TV LICENCE MBP REF 4199974716, MANDATE NO 0086</t>
  </si>
  <si>
    <t>DIRECT DEBIT PAYMENT TO TV LICENCE MBP REF 4047064028, MANDATE NO 0058</t>
  </si>
  <si>
    <t>DIRECT DEBIT PAYMENT TO TV LICENCE MBP REF 3993365003, MANDATE NO 0041</t>
  </si>
  <si>
    <t>DIRECT DEBIT PAYMENT TO TV LICENCE MBP REF 3954898560, MANDATE NO 0033</t>
  </si>
  <si>
    <t>DIRECT DEBIT PAYMENT TO TV LICENCE MBP REF 3937161469, MANDATE NO 0016</t>
  </si>
  <si>
    <t>DIRECT DEBIT PAYMENT TO TV LICENCE MBP REF 3875993337, MANDATE NO 0026</t>
  </si>
  <si>
    <t>DIRECT DEBIT PAYMENT TO VODAFONE LTD REF 7079954045-1001, MANDATE NO 0075</t>
  </si>
  <si>
    <t>DIRECT DEBIT PAYMENT TO BT GROUP PLC REF GB28908687-000017, MANDATE NO 0082</t>
  </si>
  <si>
    <t>DIRECT DEBIT PAYMENT TO BT GROUP PLC REF GB28785491-000017, MANDATE NO 0080</t>
  </si>
  <si>
    <t>DIRECT DEBIT PAYMENT TO CHESHIRE WEST REF 209469374, MANDATE NO 0074</t>
  </si>
  <si>
    <t>DIRECT DEBIT PAYMENT TO CHESHIRE WEST REF 209104668, MANDATE NO 0066</t>
  </si>
  <si>
    <t>DIRECT DEBIT PAYMENT TO CHESHIRE WEST REF 208700296, MANDATE NO 0032</t>
  </si>
  <si>
    <t>DIRECT DEBIT PAYMENT TO CHESHIRE WEST REF 208531009, MANDATE NO 0025</t>
  </si>
  <si>
    <t>DIRECT DEBIT PAYMENT TO CHESHIRE WEST REF 208530327, MANDATE NO 0003</t>
  </si>
  <si>
    <t>DIRECT DEBIT PAYMENT TO CHESHIRE WEST REF 208211426, MANDATE NO 0024</t>
  </si>
  <si>
    <t>TRANSFER REFERENCE MR NICHOLAS ARTHUR DAVIDSON</t>
  </si>
  <si>
    <t>CARD PAYMENT TO GOOGLE GSUITE_YOUANDCO ON 01-10-2025</t>
  </si>
  <si>
    <t>CARD PAYMENT TO GOOGLE *SVCSYOUANDCOLI ON 01-10-2025</t>
  </si>
  <si>
    <t>BILL PAYMENT FROM MISS TOBITHA TOGY, REFERENCE RENT TOBITHA</t>
  </si>
  <si>
    <t>FASTER PAYMENTS RECEIPT REF.RENT FROM I HUGHES</t>
  </si>
  <si>
    <t>FASTER PAYMENTS RECEIPT REF.RENT FROM KAYLAN MISTRY</t>
  </si>
  <si>
    <t>FASTER PAYMENTS RECEIPT REF.RENT FROM ROBERTS TH</t>
  </si>
  <si>
    <t>FASTER PAYMENTS RECEIPT REF.RENT FROM OWEN HARRISON</t>
  </si>
  <si>
    <t>BILL PAYMENT FROM MR BRANDON JOHN FOSTER, REFERENCE HOUSE RENT</t>
  </si>
  <si>
    <t>BILL PAYMENT VIA FASTER PAYMENT TO YOU CO LIVING REFERENCE STARLING FUNDING , MANDATE NO 7</t>
  </si>
  <si>
    <t>FASTER PAYMENTS RECEIPT REF.KL HOLDING DEPOSIT FROM LOWRY KE</t>
  </si>
  <si>
    <t>FASTER PAYMENTS RECEIPT REF.26B BROOKLANE DPST FROM SANTHOSH KUM</t>
  </si>
  <si>
    <t>DIRECT DEBIT PAYMENT TO PRECISE MORTGAGES REF 20109131, MANDATE NO 0064</t>
  </si>
  <si>
    <t>DIRECT DEBIT PAYMENT TO GOCARDLESS REF ARTHURONLINE-7M77J, MANDATE NO 0018</t>
  </si>
  <si>
    <t>DIRECT DEBIT PAYMENT TO SAN UK BUS LOANS REF 09018000797457, MANDATE NO 0038</t>
  </si>
  <si>
    <t>CARD PAYMENT TO DWR CYMRU WELSH WATER ON 03-10-2025</t>
  </si>
  <si>
    <t>DIRECT DEBIT PAYMENT TO VIRGIN MEDIA PYMTS REF 755468201001, MANDATE NO 0109</t>
  </si>
  <si>
    <t>DIRECT DEBIT PAYMENT TO LANDLORD BROADBAND REF LALAS004916, MANDATE NO 0002</t>
  </si>
  <si>
    <t>CARD PAYMENT TO LASTPASS.COM ,43.20 USD, RATE 0.7469/[ ON 08-10-2025</t>
  </si>
  <si>
    <t>DIRECT DEBIT PAYMENT TO ONESAVINGS BANK REF 70047385, MANDATE NO 0028</t>
  </si>
  <si>
    <t>BILL PAYMENT VIA FASTER PAYMENT TO MONABRI CONSTRUCTI REFERENCE INV0333 , MANDATE NO 791</t>
  </si>
  <si>
    <t>FASTER PAYMENTS RECEIPT REF.K LOWRY DEPOSIT FROM LOWRY KE</t>
  </si>
  <si>
    <t>LOCK &amp; KEY</t>
  </si>
  <si>
    <t>BILL PAYMENT TO BRIGHT BEAUTIF REFERENCE INV0375, MANDATE NO00621</t>
  </si>
  <si>
    <t>BILL PAYMENT VIA FASTER PAYMENT TO DEVA PROPERTY MAINTENANCE LTD REFERENCE INV-0243 , MAND</t>
  </si>
  <si>
    <t>BILL PAYMENT VIA FASTER PAYMENT TO SEEKERS PEST AND REFERENCE INVOICE 5414 , MANDATE NO 79</t>
  </si>
  <si>
    <t>FASTER PAYMENTS RECEIPT REF.K LOWRY RENT FROM LOWRY KE</t>
  </si>
  <si>
    <t>CARD PAYMENT TO NETFLIX.COM ON 15-10-2025</t>
  </si>
  <si>
    <t>BILL PAYMENT VIA FASTER PAYMENT TO YUTING ZHANG REFERENCE 10KG5 DEP RTN , MANDATE NO 794</t>
  </si>
  <si>
    <t>BILL PAYMENT VIA FASTER PAYMENT TO TEJASWINI RUDRA REFERENCE 4WS1 DEP RTN , MANDATE NO 793</t>
  </si>
  <si>
    <t>FOREIGN CURRENCY CONVERSION FEE</t>
  </si>
  <si>
    <t>CARD PAYMENT TO PADDLE.NET* TIMEDOCTOR ,48.00 USD, RATE 0.7550/[ ON 15-10-2025</t>
  </si>
  <si>
    <t>CARD PAYMENT TO HTTPS://SCRIBE.HOW/B ,29.00 USD, RATE 0.7517/[ ON 16-10-2025</t>
  </si>
  <si>
    <t>DIRECT DEBIT PAYMENT TO XERO UK LTD REF ZUWNTJUJJFRKHVRZ, MANDATE NO 0017</t>
  </si>
  <si>
    <t>CHARGES FROM 2025-08-29 TO 2025-09-28</t>
  </si>
  <si>
    <t>BILL PAYMENT VIA FASTER PAYMENT TO CAMERON VIVIANI REFERENCE 26BLB1 DEP RTN , MANDATE NO 7</t>
  </si>
  <si>
    <t>BILL PAYMENT VIA FASTER PAYMENT TO PROPERTYPAC LTD REFERENCE PAC117QR , MANDATE NO 789</t>
  </si>
  <si>
    <t>CARD PAYMENT TO NETFLIX.COM ON 20-10-2025</t>
  </si>
  <si>
    <t>BILL PAYMENT VIA FASTER PAYMENT TO CAMERON VIVIANI REFERENCE RENTRTN26BLB1 , MANDATE NO 79</t>
  </si>
  <si>
    <t>DIRECT DEBIT PAYMENT TO VIRGIN MEDIA PYMTS REF 766651801001, MANDATE NO 0102</t>
  </si>
  <si>
    <t>DIRECT DEBIT PAYMENT TO VIRGIN MEDIA PYMTS REF 755376201001, MANDATE NO 0101</t>
  </si>
  <si>
    <t>CARD PAYMENT TO PROPERTYDATA ON 20-10-2025</t>
  </si>
  <si>
    <t>DIRECT DEBIT PAYMENT TO SKY DIGITAL REF 00625133427348, MANDATE NO 0128</t>
  </si>
  <si>
    <t>BILL PAYMENT VIA FASTER PAYMENT TO ATOZ CHESHIRE BU REFERENCE MPGC150892 , MANDATE NO 0783</t>
  </si>
  <si>
    <t>CARD PAYMENT TO AMAZON UK* EK0KV3J25 ON 22-10-2025</t>
  </si>
  <si>
    <t>CARD PAYMENT TO AMAZON* HL1H67465 ON 24-10-2025</t>
  </si>
  <si>
    <t>FASTER PAYMENTS RECEIPT REF.ELIZABETH PAYNTER FROM E PAYNTER</t>
  </si>
  <si>
    <t>BILL PAYMENT TO BRIGHT BEAUTIF REFERENCE INV0568, MANDATE NO00621</t>
  </si>
  <si>
    <t>STANDING ORDER VIA FASTER PAYMENT TO MONOCROM REFERENCE LANDBAY 26BL , MANDATE NO 0570</t>
  </si>
  <si>
    <t>FASTER PAYMENTS RECEIPT REF.VENKATESH RENT NOV FROM VENKATESH SUBRAMANIYAN ASHOK</t>
  </si>
  <si>
    <t>FASTER PAYMENTS RECEIPT REF.JAKEDAWSON RENT FROM DAWSON J S</t>
  </si>
  <si>
    <t>CARD PAYMENT TO E I GROUP LTD ON 27-10-2025</t>
  </si>
  <si>
    <t>DIRECT DEBIT PAYMENT TO ONESAVINGS BANK REF 71040055, MANDATE NO 0135</t>
  </si>
  <si>
    <t>DIRECT DEBIT PAYMENT TO ONESAVINGS BANK REF 70038438, MANDATE NO 0005</t>
  </si>
  <si>
    <t>BILL PAYMENT TO PAUL HURST REFERENCE INV-0369, MANDATE NO00772</t>
  </si>
  <si>
    <t>FASTER PAYMENTS RECEIPT REF.32LFR ROOM 4 RENT FROM BARTON JAJ</t>
  </si>
  <si>
    <t>PAYMENT FOR CREDIT TURNOVER AT 3.00% CASHBACK</t>
  </si>
  <si>
    <t>INTEREST PAID AFTER TAX 0.00 DEDUCTED</t>
  </si>
  <si>
    <t>CARD PAYMENT TO THE HOXTON MIX LTD ON 30-10-2025</t>
  </si>
  <si>
    <t>DIRECT DEBIT PAYMENT TO LANDBAY PARTNERS REF 10187350, MANDATE NO 0071</t>
  </si>
  <si>
    <t>BILL PAYMENT VIA FASTER PAYMENT TO CRAIG BURKE REFERENCE INV 1953 , MANDATE NO 0780</t>
  </si>
  <si>
    <t>CARD PAYMENT TO WWW.PROPERTYMARK.CO.UK ON 30-10-2025</t>
  </si>
  <si>
    <t>FASTER PAYMENTS RECEIPT REF.NOV 2025 10KG Ń1 FROM ENIOLA OYENUGA</t>
  </si>
  <si>
    <t>FASTER PAYMENTS RECEIPT REF.RENT FROM FORSTER L R G</t>
  </si>
  <si>
    <t>FASTER PAYMENTS RECEIPT REF.RENT- 27D BL FROM H ELMS</t>
  </si>
  <si>
    <t>CARD PAYMENT TO TAXCALC.COM ON 30-10-2025</t>
  </si>
  <si>
    <t>STARLING</t>
  </si>
  <si>
    <t>Netflix</t>
  </si>
  <si>
    <t>Spareroom</t>
  </si>
  <si>
    <t>YOU &amp; CO. LIVING LIMITED</t>
  </si>
  <si>
    <t>Thedisputeservice.</t>
  </si>
  <si>
    <t>Auraonlinel</t>
  </si>
  <si>
    <t>REC ND</t>
  </si>
  <si>
    <t>10KG#1</t>
  </si>
  <si>
    <t>PREPAID RENT</t>
  </si>
  <si>
    <t>10KG#2</t>
  </si>
  <si>
    <t>10KG#3</t>
  </si>
  <si>
    <t>10KG#4</t>
  </si>
  <si>
    <t>10KG#5</t>
  </si>
  <si>
    <t>16RC#1</t>
  </si>
  <si>
    <t>16RC#2</t>
  </si>
  <si>
    <t>16RC#3</t>
  </si>
  <si>
    <t>16RC#4</t>
  </si>
  <si>
    <t>16RC#5</t>
  </si>
  <si>
    <t>26BLA#1</t>
  </si>
  <si>
    <t>26BLA#2</t>
  </si>
  <si>
    <t>26BLB#1</t>
  </si>
  <si>
    <t>26BLB#2</t>
  </si>
  <si>
    <t>26BLC#1</t>
  </si>
  <si>
    <t>26BLC#2</t>
  </si>
  <si>
    <t>27BLA#1</t>
  </si>
  <si>
    <t xml:space="preserve">27BLA#2 </t>
  </si>
  <si>
    <t>27BLB#1</t>
  </si>
  <si>
    <t>27BLB#2</t>
  </si>
  <si>
    <t>27BLC#1</t>
  </si>
  <si>
    <t>27BLD#1</t>
  </si>
  <si>
    <t>32LFR#2</t>
  </si>
  <si>
    <t>32LFR#3</t>
  </si>
  <si>
    <t>32LFR#4</t>
  </si>
  <si>
    <t>32LFR#5</t>
  </si>
  <si>
    <t>32LFR#6</t>
  </si>
  <si>
    <t>32LFR#7</t>
  </si>
  <si>
    <t>4WS#1</t>
  </si>
  <si>
    <t>4WS#2</t>
  </si>
  <si>
    <t>4WS#3</t>
  </si>
  <si>
    <t>4WS#4</t>
  </si>
  <si>
    <t>4WS#5</t>
  </si>
  <si>
    <t>4WS#6</t>
  </si>
  <si>
    <t>4WS#7</t>
  </si>
  <si>
    <t>84DD#1</t>
  </si>
  <si>
    <t>84DD#2</t>
  </si>
  <si>
    <t>84DD#3</t>
  </si>
  <si>
    <t>84DD#4</t>
  </si>
  <si>
    <t>84DD#5</t>
  </si>
  <si>
    <t>84DD#6</t>
  </si>
  <si>
    <t>RECURRING</t>
  </si>
  <si>
    <t>DAY</t>
  </si>
  <si>
    <t>DESCRIPTION</t>
  </si>
  <si>
    <r>
      <rPr>
        <rFont val="Rockwell"/>
        <b/>
        <color theme="1"/>
        <sz val="11.0"/>
      </rPr>
      <t xml:space="preserve">RENT: </t>
    </r>
    <r>
      <rPr>
        <rFont val="Rockwell"/>
        <color theme="1"/>
        <sz val="11.0"/>
      </rPr>
      <t>PREPAID PRIOR MONTH</t>
    </r>
  </si>
  <si>
    <t>X</t>
  </si>
  <si>
    <r>
      <rPr>
        <rFont val="Rockwell"/>
        <color theme="1"/>
        <sz val="11.0"/>
      </rPr>
      <t xml:space="preserve">TENANCIES: DEPOSITS IN/OUT, TDS </t>
    </r>
    <r>
      <rPr>
        <rFont val="Rockwell"/>
        <b/>
        <color theme="1"/>
        <sz val="11.0"/>
      </rPr>
      <t>[</t>
    </r>
    <r>
      <rPr>
        <rFont val="Rockwell"/>
        <b/>
        <color rgb="FF9900FF"/>
        <sz val="11.0"/>
      </rPr>
      <t>STARLING</t>
    </r>
    <r>
      <rPr>
        <rFont val="Rockwell"/>
        <b/>
        <color theme="1"/>
        <sz val="11.0"/>
      </rPr>
      <t>]</t>
    </r>
    <r>
      <rPr>
        <rFont val="Rockwell"/>
        <color theme="1"/>
        <sz val="11.0"/>
      </rPr>
      <t xml:space="preserve"> &amp; REFS, CLEANING (CHECK OUT) &amp; SPAREROOM</t>
    </r>
  </si>
  <si>
    <t>TRAVEL</t>
  </si>
  <si>
    <t>YES</t>
  </si>
  <si>
    <r>
      <rPr>
        <rFont val="Rockwell"/>
        <color theme="1"/>
        <sz val="11.0"/>
      </rPr>
      <t xml:space="preserve">NETFLIX 16RC </t>
    </r>
    <r>
      <rPr>
        <rFont val="Rockwell"/>
        <b/>
        <color rgb="FFFF0000"/>
        <sz val="11.0"/>
      </rPr>
      <t>[SANTANDER]</t>
    </r>
  </si>
  <si>
    <r>
      <rPr>
        <rFont val="Rockwell"/>
        <color theme="1"/>
        <sz val="11.0"/>
      </rPr>
      <t>NETFLIX 32LFR</t>
    </r>
    <r>
      <rPr>
        <rFont val="Rockwell"/>
        <b/>
        <color rgb="FF9900FF"/>
        <sz val="11.0"/>
      </rPr>
      <t xml:space="preserve"> [STARLING]</t>
    </r>
  </si>
  <si>
    <t>RENT 26BLA#1 DAVID</t>
  </si>
  <si>
    <t>RENT 26BLA#2 GRACE</t>
  </si>
  <si>
    <t>RENT 26BLB#1 CAMERON</t>
  </si>
  <si>
    <t>RENT 26BLB#2 TOMOS</t>
  </si>
  <si>
    <t>RENT 26BLC#1 THOMAS</t>
  </si>
  <si>
    <t>RENT 26BLC#2 FIRAS</t>
  </si>
  <si>
    <t>RENT 32LFR#2 TOBITHA</t>
  </si>
  <si>
    <t>RENT 32LFR#3 REBECCA</t>
  </si>
  <si>
    <t>RENT 32LFR#4 ERIN</t>
  </si>
  <si>
    <t>RENT 32LFR#5 SIMONE</t>
  </si>
  <si>
    <t>RENT 32LFR#6 BRIONY</t>
  </si>
  <si>
    <t>RENT 32LFR#7 ASHLEIGH</t>
  </si>
  <si>
    <t>RENT 4WS#1 HOLLY</t>
  </si>
  <si>
    <t>RENT 4WS#2 FRANKIE</t>
  </si>
  <si>
    <t>RENT 4WS#3 JOE</t>
  </si>
  <si>
    <t>RENT 4WS#4 JAMES</t>
  </si>
  <si>
    <t>RENT 4WS#5 ARYAMAN</t>
  </si>
  <si>
    <t>RENT 4WS#6 LAUREN</t>
  </si>
  <si>
    <t>RENT 84DD#1 BETH</t>
  </si>
  <si>
    <t>RENT 84DD#2 ALEXANDER</t>
  </si>
  <si>
    <t>RENT 84DD#3 PATRICIA</t>
  </si>
  <si>
    <t>RENT 84DD#4 UYIOSA</t>
  </si>
  <si>
    <t>RENT 84DD#5 LEON</t>
  </si>
  <si>
    <t>RENT 84DD#6 JOVAN</t>
  </si>
  <si>
    <t>YOUR PROPERTY NETWORK</t>
  </si>
  <si>
    <t>ENTERPRISE CAR</t>
  </si>
  <si>
    <t>BRITISH GAS 27A</t>
  </si>
  <si>
    <t>BRITISH GAS 27B</t>
  </si>
  <si>
    <t>BRITISH GAS 27C</t>
  </si>
  <si>
    <t>BRITISH GAS 27D</t>
  </si>
  <si>
    <t>DWR CYMRU</t>
  </si>
  <si>
    <t>SALARY CEO</t>
  </si>
  <si>
    <r>
      <rPr>
        <rFont val="Rockwell"/>
        <color theme="1"/>
        <sz val="11.0"/>
      </rPr>
      <t>NETFLIX 10KG</t>
    </r>
    <r>
      <rPr>
        <rFont val="Rockwell"/>
        <b/>
        <color rgb="FF9900FF"/>
        <sz val="11.0"/>
      </rPr>
      <t xml:space="preserve"> [STARLING]</t>
    </r>
  </si>
  <si>
    <t>SEMI</t>
  </si>
  <si>
    <t>KEITH LLOYD/MIKE ADAMS (PLUMBERS)</t>
  </si>
  <si>
    <t xml:space="preserve">SHAUN'S LABOUR SERVICES </t>
  </si>
  <si>
    <t>NO</t>
  </si>
  <si>
    <t>AO/CURRYS</t>
  </si>
  <si>
    <t>NRLA ANNUAL MEMBERSHIP</t>
  </si>
  <si>
    <t>RENT 4WS#7 JAKE</t>
  </si>
  <si>
    <t>AMAZON PRIME</t>
  </si>
  <si>
    <t>ABBEY WINDOW CLEANING 10KG</t>
  </si>
  <si>
    <t>ABBEY WINDOW CLEANING 16RC</t>
  </si>
  <si>
    <t>ABBEY WINDOW CLEANING 26BL</t>
  </si>
  <si>
    <t>ABBEY WINDOW CLEANING 32LFR</t>
  </si>
  <si>
    <t>ABBEY WINDOW CLEANING 4WS</t>
  </si>
  <si>
    <t>ABBEY WINDOW CLEANING 84DD</t>
  </si>
  <si>
    <t>OCTOPUS ENERGY 26BL</t>
  </si>
  <si>
    <t>TRELLO</t>
  </si>
  <si>
    <t xml:space="preserve">SQUARESPACE </t>
  </si>
  <si>
    <t>PRESTIGE HAMPERS 16RC</t>
  </si>
  <si>
    <t>PRESTIGE HAMPERS 10KG</t>
  </si>
  <si>
    <t xml:space="preserve">BLUE OCEAN SOCIAL LTD </t>
  </si>
  <si>
    <t>PAUL’S GARDEN SERVICES 10KG</t>
  </si>
  <si>
    <t>PAUL’S GARDEN SERVICES 32LFR</t>
  </si>
  <si>
    <t>PAUL’S GARDEN SERVICES 84DD</t>
  </si>
  <si>
    <t>PRESTIGE HAMPERS 32LFR</t>
  </si>
  <si>
    <t>PRESTIGE HAMPERS 84DD</t>
  </si>
  <si>
    <t>PRESTIGE HAMPERS 4WS</t>
  </si>
  <si>
    <t>MONOCROM</t>
  </si>
  <si>
    <t>PRESTIGE HAMPERS 26BLA</t>
  </si>
  <si>
    <t>PROPERTY REDRESS SCHEME</t>
  </si>
  <si>
    <t>OCTOPUS ENERGY CORP</t>
  </si>
  <si>
    <t>PRESTIGE HAMPERS 26BLB</t>
  </si>
  <si>
    <t>PRESTIGE HAMPERS 26BLC</t>
  </si>
  <si>
    <t>BEVERLEY TEW</t>
  </si>
  <si>
    <t>FIONA HAGDRUP</t>
  </si>
  <si>
    <t>FIONA VICKERS</t>
  </si>
  <si>
    <t xml:space="preserve">JOPHIEL PALMA </t>
  </si>
  <si>
    <t xml:space="preserve">JOSEPH RUEL DOMASIG </t>
  </si>
  <si>
    <t>LANDBAY 84DD</t>
  </si>
  <si>
    <t>BRIGHT &amp; BEAUTIFUL (OVEN CLEANING)</t>
  </si>
  <si>
    <t xml:space="preserve">SPAREROOM </t>
  </si>
  <si>
    <t xml:space="preserve">ARTHUR </t>
  </si>
  <si>
    <t>VIEWINGS, CHECK INS/OUTS</t>
  </si>
  <si>
    <t xml:space="preserve">FIVERR </t>
  </si>
  <si>
    <t>ATW ELECTRICAL (PAT)</t>
  </si>
  <si>
    <t>ATW ELECTRICAL (FIRE ALARM)</t>
  </si>
  <si>
    <t>ATW ELECTRICAL (EMERGENCY LIGHT)</t>
  </si>
  <si>
    <t>ATW ELECTRICAL (EICR)</t>
  </si>
  <si>
    <t xml:space="preserve">AMAZON </t>
  </si>
  <si>
    <t>BANK</t>
  </si>
  <si>
    <t>REC TERM</t>
  </si>
  <si>
    <t>R</t>
  </si>
  <si>
    <r>
      <rPr>
        <rFont val="Rockwell"/>
        <b/>
        <color theme="1"/>
        <sz val="11.0"/>
      </rPr>
      <t xml:space="preserve">RENT: </t>
    </r>
    <r>
      <rPr>
        <rFont val="Rockwell"/>
        <color theme="1"/>
        <sz val="11.0"/>
      </rPr>
      <t>PREPAID PRIOR MONTH</t>
    </r>
  </si>
  <si>
    <t>XP</t>
  </si>
  <si>
    <r>
      <rPr>
        <rFont val="Rockwell"/>
        <color theme="1"/>
        <sz val="11.0"/>
      </rPr>
      <t>TENANCIES: DEPOSITS (TDS) [</t>
    </r>
    <r>
      <rPr>
        <rFont val="Rockwell"/>
        <b/>
        <color rgb="FF9900FF"/>
        <sz val="11.0"/>
      </rPr>
      <t>STARLING</t>
    </r>
    <r>
      <rPr>
        <rFont val="Rockwell"/>
        <color theme="1"/>
        <sz val="11.0"/>
      </rPr>
      <t xml:space="preserve">] </t>
    </r>
  </si>
  <si>
    <t xml:space="preserve">BRIGHT </t>
  </si>
  <si>
    <t>LETTINGS</t>
  </si>
  <si>
    <t>NICHOLAS DAVIDSON</t>
  </si>
  <si>
    <t>TRAVEL/SUSPENSE</t>
  </si>
  <si>
    <t>27BLB#1 = 30.04. £1,200</t>
  </si>
  <si>
    <t>32LFR#2 = JAN £600</t>
  </si>
  <si>
    <t>TAXCALC [XERO TAX] EXPIRY 27.06.2026</t>
  </si>
  <si>
    <t>OCTOPUS ENERGY 10KG [A-2474F4DC] [5122540]</t>
  </si>
  <si>
    <t>OCTOPUS ENERGY 16RC [A-1D659703]</t>
  </si>
  <si>
    <t>OCTOPUS ENERGY 26BLA [A-D9D78B72]</t>
  </si>
  <si>
    <t>OCTOPUS ENERGY 26BLB [A-29A4B3FE]</t>
  </si>
  <si>
    <t>OCTOPUS ENERGY 26BLC [A-16FF9E82]</t>
  </si>
  <si>
    <t>OCTOPUS ENERGY 32LFR [A-FF2EBA4D] [5170100]</t>
  </si>
  <si>
    <t xml:space="preserve">OCTOPUS ENERGY 4WS [A-109F5A6B] [6412864] </t>
  </si>
  <si>
    <t>OCTOPUS ENERGY 84DD [A-72C1E760] [5170280]</t>
  </si>
  <si>
    <t>OCTOPUS ENERGY CORP (26BL) [A-90C87D45]</t>
  </si>
  <si>
    <t>OCTOPUS ENERGY CORP (27BL) [A-26F63293]</t>
  </si>
  <si>
    <t>SEVERN TRENT 10KG  [7030788008]</t>
  </si>
  <si>
    <t>SEVERN TRENT 16RC [9260113256]</t>
  </si>
  <si>
    <t>SEVERN TRENT 26BLA [9330100733]</t>
  </si>
  <si>
    <t>SEVERN TRENT 26BLB [6550059115]</t>
  </si>
  <si>
    <t>SEVERN TRENT 26BLC [2660094159]</t>
  </si>
  <si>
    <t>SEVERN TRENT 27BLA [A-08014F4E]</t>
  </si>
  <si>
    <t>SEVERN TRENT 27BLB [A-A2392AE4]</t>
  </si>
  <si>
    <t>SEVERN TRENT 27BLD [9520150408]</t>
  </si>
  <si>
    <t>SEVERN TRENT 32LFR [3490110828]</t>
  </si>
  <si>
    <t>SEVERN TRENT 4WS [8650156523]</t>
  </si>
  <si>
    <t>SEVERN TRENT 84DD [1650063103]</t>
  </si>
  <si>
    <r>
      <rPr>
        <rFont val="Rockwell"/>
        <color theme="1"/>
        <sz val="11.0"/>
      </rPr>
      <t xml:space="preserve">NETFLIX 16RC </t>
    </r>
    <r>
      <rPr>
        <rFont val="Rockwell"/>
        <b/>
        <color rgb="FFFF0000"/>
        <sz val="11.0"/>
      </rPr>
      <t>[SANTANDER]</t>
    </r>
  </si>
  <si>
    <r>
      <rPr>
        <rFont val="Rockwell"/>
        <color theme="1"/>
        <sz val="11.0"/>
      </rPr>
      <t>NETFLIX 32LFR</t>
    </r>
    <r>
      <rPr>
        <rFont val="Rockwell"/>
        <b/>
        <color rgb="FF9900FF"/>
        <sz val="11.0"/>
      </rPr>
      <t xml:space="preserve"> [STARLING]</t>
    </r>
  </si>
  <si>
    <t>TV LICENSING 10KG [3937161469]</t>
  </si>
  <si>
    <t>TV LICENSING 16RC [3875993337]</t>
  </si>
  <si>
    <t>TV LICENSING 26BLA [4199974716]</t>
  </si>
  <si>
    <t>TV LICENSING 26BLB [4199981569]</t>
  </si>
  <si>
    <t>TV LICENSING 26BLC [4199975207]</t>
  </si>
  <si>
    <t>TV LICENSING 27BLA [4260005194]</t>
  </si>
  <si>
    <t>TV LICENSING 27BLB [4258327543]</t>
  </si>
  <si>
    <t>TV LICENSING 27BLC [4263550293]</t>
  </si>
  <si>
    <t>TV LICENSING 32LFR [3954898560]</t>
  </si>
  <si>
    <t>TV LICENSING 4WS [4047064028]</t>
  </si>
  <si>
    <t>TV LICENSING 84DD [3993365003]</t>
  </si>
  <si>
    <t>PRESTIGE HAMPERS 26BL</t>
  </si>
  <si>
    <t>PRESTIGE HAMPERS 27BL</t>
  </si>
  <si>
    <t>AMAZON</t>
  </si>
  <si>
    <t>YES A</t>
  </si>
  <si>
    <t>DIRECTOR REMUNERATION</t>
  </si>
  <si>
    <r>
      <rPr>
        <rFont val="Rockwell"/>
        <color theme="1"/>
        <sz val="11.0"/>
      </rPr>
      <t>NETFLIX 10KG</t>
    </r>
    <r>
      <rPr>
        <rFont val="Rockwell"/>
        <b/>
        <color rgb="FF9900FF"/>
        <sz val="11.0"/>
      </rPr>
      <t xml:space="preserve"> [STARLING]</t>
    </r>
  </si>
  <si>
    <t>ABBEY WINDOW CLEANING</t>
  </si>
  <si>
    <t>ABBEY WINDOW CLEANING 27BL</t>
  </si>
  <si>
    <t>VIRGIN BROADBAND</t>
  </si>
  <si>
    <t>EXPRESS VPN</t>
  </si>
  <si>
    <t>LNPG</t>
  </si>
  <si>
    <t>PROPERTY FILTER</t>
  </si>
  <si>
    <t>PROPERTY FILTER &amp; REPLIT</t>
  </si>
  <si>
    <t>TIME DOCTOR + FX</t>
  </si>
  <si>
    <t>SCRIBE + FX</t>
  </si>
  <si>
    <t>INFORMATION COMMISIONERS OFFICE (ICO)</t>
  </si>
  <si>
    <t>JOPHIEL PALMA [VA#1]</t>
  </si>
  <si>
    <t>OPEN POSITION [VA#2]</t>
  </si>
  <si>
    <t>JOPHIEL PALMA [VA#1] BONUS</t>
  </si>
  <si>
    <t>ATW ELECTRICAL</t>
  </si>
  <si>
    <t>ATW ELECTRICAL (EMERGENCY LIGHT &amp; FIRE DETECTION)</t>
  </si>
  <si>
    <t>KEITH LLOYD (GAS SAFETY)</t>
  </si>
  <si>
    <t>KEITH LLOYD</t>
  </si>
  <si>
    <t>BRIGHT &amp; BEAUTIFUL</t>
  </si>
  <si>
    <t>CURRENT BANK BALANCE</t>
  </si>
  <si>
    <t>CASH FLOW</t>
  </si>
  <si>
    <t>RECONCILIATION VARIANCE</t>
  </si>
  <si>
    <t>DATE</t>
  </si>
  <si>
    <t>CONSOLIDATED</t>
  </si>
  <si>
    <t>ADJUSTMENTS</t>
  </si>
  <si>
    <t>TOTAL</t>
  </si>
  <si>
    <t>SANTANDER BBL</t>
  </si>
  <si>
    <t>JAJA MC</t>
  </si>
  <si>
    <t>SANTANDER MC</t>
  </si>
  <si>
    <t>AMEX CC</t>
  </si>
  <si>
    <t>LLOYDS MC</t>
  </si>
  <si>
    <t>NEED £25K CASH FOR TENANCY DEPOSITS ON SEP 2026 B/S</t>
  </si>
  <si>
    <t>SAVINGS PLAN PCM</t>
  </si>
  <si>
    <t>NET ESTIMATE</t>
  </si>
  <si>
    <t>SPEND NORMAL</t>
  </si>
  <si>
    <t>SAVING PCM</t>
  </si>
  <si>
    <t>SAVING CUMULATIVE</t>
  </si>
  <si>
    <t>25% DEPOSIT+COSTS</t>
  </si>
  <si>
    <t>GOAL = PPR IN PERSONAL NAME - NO 3% SDLT - LITTLE SDLT - BRIDGING - RE-FI ON SELF EMPLOYED MORTGAGE OR SELL.</t>
  </si>
  <si>
    <t>UNDERWRITE AT THIS LEVEL</t>
  </si>
  <si>
    <t>SUMMER HOLIDAY</t>
  </si>
  <si>
    <t>START SERIOUSLY BUYING</t>
  </si>
  <si>
    <t>BRADFORD BARRIER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</si>
</sst>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809]#,##0.00"/>
    <numFmt numFmtId="165" formatCode="&quot;£&quot;#,##0.00"/>
    <numFmt numFmtId="166" formatCode="dd/mm/yyyy"/>
    <numFmt numFmtId="167" formatCode="d/m/yyyy"/>
    <numFmt numFmtId="168" formatCode="&quot;  &quot;mmm&quot; &quot;yyyy"/>
    <numFmt numFmtId="169" formatCode="d&quot;-&quot;mmm&quot;-&quot;yyyy"/>
    <numFmt numFmtId="170" formatCode="[$£-809]#,##0.000000000"/>
    <numFmt numFmtId="171" formatCode="[$€]#,##0.00"/>
  </numFmts>
  <fonts count="31">
    <font>
      <sz val="10.0"/>
      <color rgb="FF000000"/>
      <name val="Arial"/>
      <scheme val="minor"/>
    </font>
    <font>
      <sz val="11.0"/>
      <color theme="1"/>
      <name val="Rockwell"/>
    </font>
    <font>
      <color theme="1"/>
      <name val="Rockwell"/>
    </font>
    <font>
      <sz val="10.0"/>
      <color theme="1"/>
      <name val="Rockwell"/>
    </font>
    <font>
      <b/>
      <color rgb="FFFFFFFF"/>
      <name val="Arial"/>
      <scheme val="minor"/>
    </font>
    <font>
      <color theme="1"/>
      <name val="Arial"/>
      <scheme val="minor"/>
    </font>
    <font>
      <b/>
      <sz val="11.0"/>
      <color rgb="FFFFFFFF"/>
      <name val="Rockwell"/>
    </font>
    <font>
      <b/>
      <sz val="11.0"/>
      <color theme="1"/>
      <name val="Rockwell"/>
    </font>
    <font>
      <sz val="11.0"/>
      <color rgb="FFFFFFFF"/>
      <name val="Rockwell"/>
    </font>
    <font>
      <b/>
      <sz val="11.0"/>
      <color rgb="FF073763"/>
      <name val="Rockwell"/>
    </font>
    <font>
      <b/>
      <sz val="11.0"/>
      <color rgb="FF000000"/>
      <name val="Rockwell"/>
    </font>
    <font>
      <sz val="11.0"/>
      <color rgb="FF000000"/>
      <name val="Rockwell"/>
    </font>
    <font>
      <sz val="11.0"/>
      <color rgb="FF000A1E"/>
      <name val="Rockwell"/>
    </font>
    <font>
      <b/>
      <sz val="11.0"/>
      <color rgb="FFFF0000"/>
      <name val="Rockwell"/>
    </font>
    <font>
      <sz val="11.0"/>
      <color rgb="FF974806"/>
      <name val="Rockwell"/>
    </font>
    <font>
      <color theme="1"/>
      <name val="Arial"/>
    </font>
    <font>
      <sz val="11.0"/>
      <color rgb="FFB7B7B7"/>
      <name val="Rockwell"/>
    </font>
    <font/>
    <font>
      <b/>
      <color theme="1"/>
      <name val="Rockwell"/>
    </font>
    <font>
      <b/>
      <color rgb="FF073763"/>
      <name val="Rockwell"/>
    </font>
    <font>
      <b/>
      <color rgb="FF783F04"/>
      <name val="Rockwell"/>
    </font>
    <font>
      <b/>
      <color rgb="FFB7B7B7"/>
      <name val="Rockwell"/>
    </font>
    <font>
      <b/>
      <sz val="11.0"/>
      <color rgb="FF9900FF"/>
      <name val="Rockwell"/>
    </font>
    <font>
      <b/>
      <sz val="9.0"/>
      <color rgb="FFFF0000"/>
      <name val="Rockwell"/>
    </font>
    <font>
      <b/>
      <color rgb="FFFF0000"/>
      <name val="Rockwell"/>
    </font>
    <font>
      <b/>
      <sz val="10.0"/>
      <color theme="1"/>
      <name val="Rockwell"/>
    </font>
    <font>
      <b/>
      <sz val="10.0"/>
      <color rgb="FF333333"/>
      <name val="Rockwell"/>
    </font>
    <font>
      <sz val="10.0"/>
      <color rgb="FF555555"/>
      <name val="Rockwell"/>
    </font>
    <font>
      <b/>
      <sz val="10.0"/>
      <color rgb="FF47B101"/>
      <name val="Rockwell"/>
    </font>
    <font>
      <sz val="11.0"/>
      <color rgb="FF999999"/>
      <name val="Rockwell"/>
    </font>
    <font>
      <b/>
      <sz val="11.0"/>
      <color rgb="FF783F04"/>
      <name val="Rockwell"/>
    </font>
  </fonts>
  <fills count="11">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783F04"/>
        <bgColor rgb="FF783F04"/>
      </patternFill>
    </fill>
    <fill>
      <patternFill patternType="solid">
        <fgColor rgb="FFFF9900"/>
        <bgColor rgb="FFFF9900"/>
      </patternFill>
    </fill>
    <fill>
      <patternFill patternType="solid">
        <fgColor rgb="FFB6D7A8"/>
        <bgColor rgb="FFB6D7A8"/>
      </patternFill>
    </fill>
    <fill>
      <patternFill patternType="solid">
        <fgColor rgb="FF76A5AF"/>
        <bgColor rgb="FF76A5A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14">
    <border/>
    <border>
      <bottom style="thin">
        <color rgb="FFFFFFFF"/>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DDDDDD"/>
      </left>
      <top style="thin">
        <color rgb="FFDDDDDD"/>
      </top>
      <bottom style="thin">
        <color rgb="FFDDDDDD"/>
      </bottom>
    </border>
    <border>
      <bottom style="thin">
        <color rgb="FFDDDDDD"/>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2" numFmtId="0" xfId="0" applyAlignment="1" applyFont="1">
      <alignment readingOrder="0"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3" numFmtId="0" xfId="0" applyAlignment="1" applyBorder="1" applyFont="1">
      <alignment horizontal="center" readingOrder="0" vertical="bottom"/>
    </xf>
    <xf borderId="1" fillId="0" fontId="2" numFmtId="0" xfId="0" applyAlignment="1" applyBorder="1" applyFont="1">
      <alignment horizontal="left" vertical="bottom"/>
    </xf>
    <xf borderId="1" fillId="0" fontId="2" numFmtId="164" xfId="0" applyAlignment="1" applyBorder="1" applyFont="1" applyNumberFormat="1">
      <alignment horizontal="right" readingOrder="0" vertical="bottom"/>
    </xf>
    <xf borderId="1" fillId="0" fontId="2" numFmtId="164" xfId="0" applyAlignment="1" applyBorder="1" applyFont="1" applyNumberFormat="1">
      <alignment horizontal="right" vertical="bottom"/>
    </xf>
    <xf borderId="0" fillId="0" fontId="2" numFmtId="0" xfId="0" applyAlignment="1" applyFont="1">
      <alignment horizontal="center" readingOrder="0" vertical="bottom"/>
    </xf>
    <xf borderId="0" fillId="0" fontId="2" numFmtId="0" xfId="0" applyAlignment="1" applyFont="1">
      <alignment readingOrder="0"/>
    </xf>
    <xf borderId="0" fillId="0" fontId="3" numFmtId="0" xfId="0" applyAlignment="1" applyFont="1">
      <alignment horizontal="center" readingOrder="0"/>
    </xf>
    <xf borderId="0" fillId="0" fontId="2" numFmtId="0" xfId="0" applyAlignment="1" applyFont="1">
      <alignment horizontal="left" readingOrder="0"/>
    </xf>
    <xf borderId="0" fillId="0" fontId="2" numFmtId="164" xfId="0" applyAlignment="1" applyFont="1" applyNumberFormat="1">
      <alignment readingOrder="0"/>
    </xf>
    <xf borderId="0" fillId="0" fontId="2" numFmtId="0" xfId="0" applyFont="1"/>
    <xf borderId="0" fillId="0" fontId="3" numFmtId="0" xfId="0" applyAlignment="1" applyFont="1">
      <alignment horizontal="center" readingOrder="0" vertical="bottom"/>
    </xf>
    <xf borderId="0" fillId="2" fontId="3" numFmtId="0" xfId="0" applyAlignment="1" applyFill="1" applyFont="1">
      <alignment horizontal="center" readingOrder="0"/>
    </xf>
    <xf borderId="0" fillId="0" fontId="3" numFmtId="0" xfId="0" applyAlignment="1" applyFont="1">
      <alignment horizontal="center"/>
    </xf>
    <xf borderId="0" fillId="0" fontId="2" numFmtId="0" xfId="0" applyAlignment="1" applyFont="1">
      <alignment horizontal="left" readingOrder="0" vertical="bottom"/>
    </xf>
    <xf borderId="0" fillId="0" fontId="2" numFmtId="164" xfId="0" applyFont="1" applyNumberFormat="1"/>
    <xf borderId="0" fillId="0" fontId="2" numFmtId="165" xfId="0" applyAlignment="1" applyFont="1" applyNumberFormat="1">
      <alignment readingOrder="0"/>
    </xf>
    <xf quotePrefix="1" borderId="0" fillId="0" fontId="2" numFmtId="0" xfId="0" applyAlignment="1" applyFont="1">
      <alignment readingOrder="0"/>
    </xf>
    <xf quotePrefix="1" borderId="0" fillId="0" fontId="2" numFmtId="0" xfId="0" applyAlignment="1" applyFont="1">
      <alignment readingOrder="0" vertical="bottom"/>
    </xf>
    <xf borderId="0" fillId="0" fontId="3" numFmtId="164" xfId="0" applyAlignment="1" applyFont="1" applyNumberFormat="1">
      <alignment horizontal="center" readingOrder="0"/>
    </xf>
    <xf borderId="0" fillId="0" fontId="2" numFmtId="166"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left" vertical="bottom"/>
    </xf>
    <xf borderId="0" fillId="0" fontId="2" numFmtId="164" xfId="0" applyAlignment="1" applyFont="1" applyNumberFormat="1">
      <alignment horizontal="right" vertical="bottom"/>
    </xf>
    <xf borderId="0" fillId="0" fontId="2" numFmtId="164" xfId="0" applyAlignment="1" applyFont="1" applyNumberFormat="1">
      <alignment horizontal="right" readingOrder="0" vertical="bottom"/>
    </xf>
    <xf borderId="0" fillId="0" fontId="2" numFmtId="167" xfId="0" applyAlignment="1" applyFont="1" applyNumberFormat="1">
      <alignment horizontal="center" vertical="bottom"/>
    </xf>
    <xf borderId="0" fillId="0" fontId="2" numFmtId="166" xfId="0" applyAlignment="1" applyFont="1" applyNumberFormat="1">
      <alignment readingOrder="0" vertical="bottom"/>
    </xf>
    <xf borderId="0" fillId="0" fontId="2" numFmtId="167" xfId="0" applyAlignment="1" applyFont="1" applyNumberFormat="1">
      <alignment readingOrder="0" vertical="bottom"/>
    </xf>
    <xf borderId="2" fillId="0" fontId="4" numFmtId="0" xfId="0" applyAlignment="1" applyBorder="1" applyFont="1">
      <alignment horizontal="center" readingOrder="0"/>
    </xf>
    <xf borderId="3" fillId="0" fontId="4" numFmtId="0" xfId="0" applyAlignment="1" applyBorder="1" applyFont="1">
      <alignment horizontal="center" readingOrder="0"/>
    </xf>
    <xf borderId="3" fillId="0" fontId="4" numFmtId="164" xfId="0" applyAlignment="1" applyBorder="1" applyFont="1" applyNumberFormat="1">
      <alignment horizontal="center" readingOrder="0"/>
    </xf>
    <xf borderId="4" fillId="0" fontId="4" numFmtId="164" xfId="0" applyAlignment="1" applyBorder="1" applyFont="1" applyNumberFormat="1">
      <alignment horizontal="center" readingOrder="0"/>
    </xf>
    <xf borderId="0" fillId="0" fontId="4" numFmtId="0" xfId="0" applyAlignment="1" applyFont="1">
      <alignment horizontal="center" readingOrder="0"/>
    </xf>
    <xf borderId="5" fillId="0" fontId="5" numFmtId="0" xfId="0" applyAlignment="1" applyBorder="1" applyFont="1">
      <alignment readingOrder="0"/>
    </xf>
    <xf borderId="6" fillId="0" fontId="5" numFmtId="0" xfId="0" applyAlignment="1" applyBorder="1" applyFont="1">
      <alignment readingOrder="0"/>
    </xf>
    <xf borderId="6" fillId="0" fontId="5" numFmtId="167" xfId="0" applyAlignment="1" applyBorder="1" applyFont="1" applyNumberFormat="1">
      <alignment readingOrder="0"/>
    </xf>
    <xf borderId="6" fillId="0" fontId="5" numFmtId="0" xfId="0" applyBorder="1" applyFont="1"/>
    <xf borderId="6" fillId="0" fontId="5" numFmtId="164" xfId="0" applyAlignment="1" applyBorder="1" applyFont="1" applyNumberFormat="1">
      <alignment readingOrder="0"/>
    </xf>
    <xf borderId="7" fillId="0" fontId="5" numFmtId="164" xfId="0" applyAlignment="1" applyBorder="1" applyFont="1" applyNumberFormat="1">
      <alignment readingOrder="0"/>
    </xf>
    <xf borderId="0" fillId="0" fontId="5" numFmtId="0" xfId="0" applyAlignment="1" applyFont="1">
      <alignment readingOrder="0"/>
    </xf>
    <xf borderId="5" fillId="0" fontId="5" numFmtId="0" xfId="0" applyBorder="1" applyFont="1"/>
    <xf borderId="6" fillId="0" fontId="5" numFmtId="0" xfId="0" applyBorder="1" applyFont="1"/>
    <xf borderId="6" fillId="0" fontId="5" numFmtId="0" xfId="0" applyAlignment="1" applyBorder="1" applyFont="1">
      <alignment readingOrder="0"/>
    </xf>
    <xf borderId="7" fillId="0" fontId="5" numFmtId="0" xfId="0" applyBorder="1" applyFont="1"/>
    <xf borderId="7" fillId="0" fontId="5" numFmtId="0" xfId="0" applyBorder="1" applyFont="1"/>
    <xf borderId="0" fillId="0" fontId="5" numFmtId="0" xfId="0" applyFont="1"/>
    <xf borderId="6" fillId="0" fontId="5" numFmtId="166" xfId="0" applyAlignment="1" applyBorder="1" applyFont="1" applyNumberFormat="1">
      <alignment readingOrder="0"/>
    </xf>
    <xf borderId="5" fillId="0" fontId="5" numFmtId="0" xfId="0" applyAlignment="1" applyBorder="1" applyFont="1">
      <alignment readingOrder="0"/>
    </xf>
    <xf borderId="6" fillId="0" fontId="5" numFmtId="0" xfId="0" applyAlignment="1" applyBorder="1" applyFont="1">
      <alignment readingOrder="0"/>
    </xf>
    <xf borderId="7" fillId="0" fontId="5" numFmtId="0" xfId="0" applyAlignment="1" applyBorder="1" applyFont="1">
      <alignment readingOrder="0"/>
    </xf>
    <xf borderId="0" fillId="3" fontId="1" numFmtId="164" xfId="0" applyAlignment="1" applyFill="1" applyFont="1" applyNumberFormat="1">
      <alignment horizontal="right" readingOrder="0" vertical="bottom"/>
    </xf>
    <xf borderId="5" fillId="0" fontId="5" numFmtId="0" xfId="0" applyBorder="1" applyFont="1"/>
    <xf borderId="0" fillId="0" fontId="5" numFmtId="0" xfId="0" applyAlignment="1" applyFont="1">
      <alignment readingOrder="0"/>
    </xf>
    <xf borderId="0" fillId="0" fontId="5" numFmtId="0" xfId="0" applyAlignment="1" applyFont="1">
      <alignment readingOrder="0"/>
    </xf>
    <xf borderId="0" fillId="0" fontId="5" numFmtId="164" xfId="0" applyAlignment="1" applyFont="1" applyNumberFormat="1">
      <alignment readingOrder="0"/>
    </xf>
    <xf borderId="0" fillId="0" fontId="5" numFmtId="166" xfId="0" applyAlignment="1" applyFont="1" applyNumberFormat="1">
      <alignment readingOrder="0"/>
    </xf>
    <xf borderId="0" fillId="0" fontId="5" numFmtId="167" xfId="0" applyAlignment="1" applyFont="1" applyNumberFormat="1">
      <alignment readingOrder="0"/>
    </xf>
    <xf borderId="0" fillId="4" fontId="6" numFmtId="164" xfId="0" applyAlignment="1" applyFill="1" applyFont="1" applyNumberFormat="1">
      <alignment horizontal="center" readingOrder="0" vertical="bottom"/>
    </xf>
    <xf borderId="0" fillId="4" fontId="6" numFmtId="168" xfId="0" applyAlignment="1" applyFont="1" applyNumberFormat="1">
      <alignment horizontal="center" readingOrder="0" vertical="bottom"/>
    </xf>
    <xf borderId="0" fillId="2" fontId="6" numFmtId="0" xfId="0" applyAlignment="1" applyFont="1">
      <alignment readingOrder="0"/>
    </xf>
    <xf borderId="0" fillId="0" fontId="7" numFmtId="0" xfId="0" applyAlignment="1" applyFont="1">
      <alignment readingOrder="0"/>
    </xf>
    <xf borderId="0" fillId="0" fontId="7" numFmtId="0" xfId="0" applyAlignment="1" applyFont="1">
      <alignment horizontal="center" readingOrder="0"/>
    </xf>
    <xf borderId="0" fillId="5" fontId="7" numFmtId="0" xfId="0" applyAlignment="1" applyFill="1" applyFont="1">
      <alignment readingOrder="0"/>
    </xf>
    <xf borderId="0" fillId="5" fontId="7" numFmtId="164" xfId="0" applyAlignment="1" applyFont="1" applyNumberFormat="1">
      <alignment horizontal="right" readingOrder="0" vertical="bottom"/>
    </xf>
    <xf borderId="0" fillId="5" fontId="7" numFmtId="164" xfId="0" applyAlignment="1" applyFont="1" applyNumberFormat="1">
      <alignment horizontal="right" vertical="bottom"/>
    </xf>
    <xf borderId="0" fillId="0" fontId="7" numFmtId="0" xfId="0" applyFont="1"/>
    <xf borderId="0" fillId="2" fontId="8"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xf>
    <xf borderId="0" fillId="3" fontId="1" numFmtId="0" xfId="0" applyAlignment="1" applyFont="1">
      <alignment readingOrder="0"/>
    </xf>
    <xf borderId="0" fillId="3" fontId="9" numFmtId="164" xfId="0" applyAlignment="1" applyFont="1" applyNumberFormat="1">
      <alignment horizontal="center" readingOrder="0" vertical="bottom"/>
    </xf>
    <xf borderId="0" fillId="6" fontId="1" numFmtId="0" xfId="0" applyAlignment="1" applyFill="1" applyFont="1">
      <alignment readingOrder="0" shrinkToFit="0" wrapText="0"/>
    </xf>
    <xf borderId="0" fillId="6" fontId="9" numFmtId="164" xfId="0" applyAlignment="1" applyFont="1" applyNumberFormat="1">
      <alignment horizontal="center" readingOrder="0" vertical="bottom"/>
    </xf>
    <xf borderId="0" fillId="6" fontId="1" numFmtId="164" xfId="0" applyAlignment="1" applyFont="1" applyNumberFormat="1">
      <alignment horizontal="right" readingOrder="0" vertical="bottom"/>
    </xf>
    <xf borderId="0" fillId="7" fontId="1" numFmtId="0" xfId="0" applyAlignment="1" applyFill="1" applyFont="1">
      <alignment readingOrder="0"/>
    </xf>
    <xf borderId="0" fillId="7" fontId="9" numFmtId="164" xfId="0" applyAlignment="1" applyFont="1" applyNumberFormat="1">
      <alignment horizontal="center" readingOrder="0" vertical="bottom"/>
    </xf>
    <xf borderId="0" fillId="7" fontId="1" numFmtId="164" xfId="0" applyAlignment="1" applyFont="1" applyNumberFormat="1">
      <alignment horizontal="right" readingOrder="0" vertical="bottom"/>
    </xf>
    <xf borderId="0" fillId="7" fontId="10" numFmtId="164" xfId="0" applyAlignment="1" applyFont="1" applyNumberFormat="1">
      <alignment horizontal="center" readingOrder="0" vertical="bottom"/>
    </xf>
    <xf borderId="0" fillId="7" fontId="11" numFmtId="164" xfId="0" applyAlignment="1" applyFont="1" applyNumberFormat="1">
      <alignment horizontal="right" readingOrder="0" vertical="bottom"/>
    </xf>
    <xf borderId="0" fillId="8" fontId="9" numFmtId="164" xfId="0" applyAlignment="1" applyFill="1" applyFont="1" applyNumberFormat="1">
      <alignment horizontal="center" readingOrder="0" vertical="bottom"/>
    </xf>
    <xf borderId="0" fillId="8" fontId="1" numFmtId="164" xfId="0" applyAlignment="1" applyFont="1" applyNumberFormat="1">
      <alignment horizontal="right" readingOrder="0" vertical="bottom"/>
    </xf>
    <xf borderId="0" fillId="0" fontId="1" numFmtId="164" xfId="0" applyAlignment="1" applyFont="1" applyNumberFormat="1">
      <alignment horizontal="right" readingOrder="0" vertical="bottom"/>
    </xf>
    <xf borderId="0" fillId="8" fontId="1" numFmtId="164" xfId="0" applyAlignment="1" applyFont="1" applyNumberFormat="1">
      <alignment horizontal="right" vertical="bottom"/>
    </xf>
    <xf borderId="0" fillId="0" fontId="1" numFmtId="164" xfId="0" applyAlignment="1" applyFont="1" applyNumberFormat="1">
      <alignment horizontal="right" vertical="bottom"/>
    </xf>
    <xf borderId="0" fillId="8" fontId="12" numFmtId="164" xfId="0" applyAlignment="1" applyFont="1" applyNumberFormat="1">
      <alignment horizontal="right" readingOrder="0"/>
    </xf>
    <xf borderId="0" fillId="3" fontId="1" numFmtId="164" xfId="0" applyAlignment="1" applyFont="1" applyNumberFormat="1">
      <alignment horizontal="right" vertical="bottom"/>
    </xf>
    <xf borderId="0" fillId="0" fontId="11" numFmtId="0" xfId="0" applyAlignment="1" applyFont="1">
      <alignment readingOrder="0"/>
    </xf>
    <xf borderId="0" fillId="2" fontId="1" numFmtId="164" xfId="0" applyAlignment="1" applyFont="1" applyNumberFormat="1">
      <alignment horizontal="right" readingOrder="0" vertical="bottom"/>
    </xf>
    <xf borderId="0" fillId="2" fontId="1" numFmtId="0" xfId="0" applyAlignment="1" applyFont="1">
      <alignment readingOrder="0"/>
    </xf>
    <xf borderId="0" fillId="0" fontId="1" numFmtId="0" xfId="0" applyAlignment="1" applyFont="1">
      <alignment readingOrder="0" shrinkToFit="0" wrapText="0"/>
    </xf>
    <xf quotePrefix="1" borderId="0" fillId="0" fontId="1" numFmtId="0" xfId="0" applyAlignment="1" applyFont="1">
      <alignment horizontal="center" readingOrder="0"/>
    </xf>
    <xf borderId="0" fillId="8" fontId="1" numFmtId="164" xfId="0" applyAlignment="1" applyFont="1" applyNumberFormat="1">
      <alignment readingOrder="0"/>
    </xf>
    <xf borderId="0" fillId="0" fontId="13" numFmtId="0" xfId="0" applyAlignment="1" applyFont="1">
      <alignment readingOrder="0"/>
    </xf>
    <xf borderId="0" fillId="8" fontId="1" numFmtId="0" xfId="0" applyAlignment="1" applyFont="1">
      <alignment horizontal="center" readingOrder="0"/>
    </xf>
    <xf borderId="0" fillId="8" fontId="11" numFmtId="164" xfId="0" applyAlignment="1" applyFont="1" applyNumberFormat="1">
      <alignment readingOrder="0"/>
    </xf>
    <xf borderId="0" fillId="0" fontId="14" numFmtId="0" xfId="0" applyAlignment="1" applyFont="1">
      <alignment readingOrder="0" shrinkToFit="0" wrapText="0"/>
    </xf>
    <xf borderId="0" fillId="0" fontId="14" numFmtId="0" xfId="0" applyAlignment="1" applyFont="1">
      <alignment readingOrder="0"/>
    </xf>
    <xf borderId="0" fillId="2" fontId="9" numFmtId="164" xfId="0" applyAlignment="1" applyFont="1" applyNumberFormat="1">
      <alignment horizontal="center" readingOrder="0" vertical="bottom"/>
    </xf>
    <xf quotePrefix="1" borderId="0" fillId="2" fontId="1" numFmtId="0" xfId="0" applyAlignment="1" applyFont="1">
      <alignment horizontal="center" readingOrder="0"/>
    </xf>
    <xf borderId="0" fillId="0" fontId="14" numFmtId="0" xfId="0" applyFont="1"/>
    <xf borderId="0" fillId="0" fontId="11" numFmtId="164" xfId="0" applyFont="1" applyNumberFormat="1"/>
    <xf borderId="0" fillId="2" fontId="1" numFmtId="164" xfId="0" applyAlignment="1" applyFont="1" applyNumberFormat="1">
      <alignment readingOrder="0"/>
    </xf>
    <xf borderId="0" fillId="0" fontId="10" numFmtId="164" xfId="0" applyAlignment="1" applyFont="1" applyNumberFormat="1">
      <alignment readingOrder="0"/>
    </xf>
    <xf borderId="0" fillId="0" fontId="14" numFmtId="164" xfId="0" applyFont="1" applyNumberFormat="1"/>
    <xf borderId="0" fillId="0" fontId="1" numFmtId="164" xfId="0" applyAlignment="1" applyFont="1" applyNumberFormat="1">
      <alignment readingOrder="0"/>
    </xf>
    <xf borderId="0" fillId="0" fontId="14" numFmtId="164" xfId="0" applyAlignment="1" applyFont="1" applyNumberFormat="1">
      <alignment readingOrder="0"/>
    </xf>
    <xf borderId="0" fillId="0" fontId="14" numFmtId="164" xfId="0" applyAlignment="1" applyFont="1" applyNumberFormat="1">
      <alignment readingOrder="0" shrinkToFit="0" wrapText="0"/>
    </xf>
    <xf borderId="0" fillId="4" fontId="6" numFmtId="0" xfId="0" applyAlignment="1" applyFont="1">
      <alignment horizontal="center" readingOrder="0" vertical="bottom"/>
    </xf>
    <xf borderId="0" fillId="2" fontId="13" numFmtId="0" xfId="0" applyAlignment="1" applyFont="1">
      <alignment readingOrder="0"/>
    </xf>
    <xf borderId="0" fillId="5" fontId="7" numFmtId="0" xfId="0" applyAlignment="1" applyFont="1">
      <alignment horizontal="center" readingOrder="0"/>
    </xf>
    <xf quotePrefix="1" borderId="0" fillId="5" fontId="7" numFmtId="0" xfId="0" applyAlignment="1" applyFont="1">
      <alignment horizontal="center" readingOrder="0"/>
    </xf>
    <xf borderId="0" fillId="3" fontId="1" numFmtId="0" xfId="0" applyAlignment="1" applyFont="1">
      <alignment horizontal="center" readingOrder="0"/>
    </xf>
    <xf borderId="0" fillId="6" fontId="1" numFmtId="0" xfId="0" applyAlignment="1" applyFont="1">
      <alignment horizontal="center" readingOrder="0" shrinkToFit="0" wrapText="0"/>
    </xf>
    <xf borderId="0" fillId="7" fontId="1" numFmtId="0" xfId="0" applyAlignment="1" applyFont="1">
      <alignment horizontal="center" readingOrder="0"/>
    </xf>
    <xf borderId="0" fillId="0" fontId="13" numFmtId="164" xfId="0" applyAlignment="1" applyFont="1" applyNumberFormat="1">
      <alignment horizontal="right" readingOrder="0" vertical="bottom"/>
    </xf>
    <xf borderId="0" fillId="8" fontId="10" numFmtId="164" xfId="0" applyAlignment="1" applyFont="1" applyNumberFormat="1">
      <alignment horizontal="center" readingOrder="0" vertical="bottom"/>
    </xf>
    <xf borderId="0" fillId="9" fontId="1" numFmtId="164" xfId="0" applyAlignment="1" applyFill="1" applyFont="1" applyNumberFormat="1">
      <alignment horizontal="right" readingOrder="0" vertical="bottom"/>
    </xf>
    <xf borderId="0" fillId="0" fontId="15" numFmtId="0" xfId="0" applyAlignment="1" applyFont="1">
      <alignment horizontal="center" vertical="bottom"/>
    </xf>
    <xf borderId="0" fillId="0" fontId="15" numFmtId="0" xfId="0" applyAlignment="1" applyFont="1">
      <alignment vertical="bottom"/>
    </xf>
    <xf borderId="0" fillId="0" fontId="16" numFmtId="0" xfId="0" applyAlignment="1" applyFont="1">
      <alignment readingOrder="0"/>
    </xf>
    <xf borderId="0" fillId="0" fontId="11" numFmtId="0" xfId="0" applyAlignment="1" applyFont="1">
      <alignment horizontal="center" readingOrder="0"/>
    </xf>
    <xf borderId="0" fillId="9" fontId="9" numFmtId="164" xfId="0" applyAlignment="1" applyFont="1" applyNumberFormat="1">
      <alignment horizontal="center" readingOrder="0" vertical="bottom"/>
    </xf>
    <xf borderId="0" fillId="0" fontId="9" numFmtId="164" xfId="0" applyAlignment="1" applyFont="1" applyNumberFormat="1">
      <alignment horizontal="center" readingOrder="0" vertical="bottom"/>
    </xf>
    <xf borderId="8" fillId="8" fontId="9" numFmtId="164" xfId="0" applyAlignment="1" applyBorder="1" applyFont="1" applyNumberFormat="1">
      <alignment horizontal="center" readingOrder="0" vertical="center"/>
    </xf>
    <xf borderId="9" fillId="0" fontId="17" numFmtId="0" xfId="0" applyBorder="1" applyFont="1"/>
    <xf borderId="10" fillId="0" fontId="17" numFmtId="0" xfId="0" applyBorder="1" applyFont="1"/>
    <xf borderId="0" fillId="2" fontId="1" numFmtId="0" xfId="0" applyAlignment="1" applyFont="1">
      <alignment horizontal="center" readingOrder="0"/>
    </xf>
    <xf borderId="0" fillId="0" fontId="1" numFmtId="165" xfId="0" applyAlignment="1" applyFont="1" applyNumberFormat="1">
      <alignment horizontal="right" readingOrder="0" shrinkToFit="0" wrapText="0"/>
    </xf>
    <xf borderId="0" fillId="9" fontId="1" numFmtId="165" xfId="0" applyAlignment="1" applyFont="1" applyNumberFormat="1">
      <alignment horizontal="right" readingOrder="0" shrinkToFit="0" wrapText="0"/>
    </xf>
    <xf borderId="0" fillId="10" fontId="16" numFmtId="0" xfId="0" applyAlignment="1" applyFill="1" applyFont="1">
      <alignment readingOrder="0"/>
    </xf>
    <xf borderId="0" fillId="10" fontId="1" numFmtId="164" xfId="0" applyAlignment="1" applyFont="1" applyNumberFormat="1">
      <alignment horizontal="right" readingOrder="0" vertical="bottom"/>
    </xf>
    <xf borderId="0" fillId="5" fontId="1" numFmtId="0" xfId="0" applyAlignment="1" applyFont="1">
      <alignment readingOrder="0"/>
    </xf>
    <xf borderId="0" fillId="0" fontId="1" numFmtId="0" xfId="0" applyAlignment="1" applyFont="1">
      <alignment horizontal="center" readingOrder="0" shrinkToFit="0" wrapText="0"/>
    </xf>
    <xf borderId="0" fillId="0" fontId="1" numFmtId="165" xfId="0" applyAlignment="1" applyFont="1" applyNumberFormat="1">
      <alignment readingOrder="0"/>
    </xf>
    <xf borderId="0" fillId="8" fontId="9" numFmtId="49" xfId="0" applyAlignment="1" applyFont="1" applyNumberFormat="1">
      <alignment horizontal="center" readingOrder="0" vertical="bottom"/>
    </xf>
    <xf borderId="0" fillId="0" fontId="7" numFmtId="164" xfId="0" applyAlignment="1" applyFont="1" applyNumberFormat="1">
      <alignment horizontal="right" vertical="bottom"/>
    </xf>
    <xf borderId="11" fillId="0" fontId="1" numFmtId="0" xfId="0" applyAlignment="1" applyBorder="1" applyFont="1">
      <alignment horizontal="center" readingOrder="0"/>
    </xf>
    <xf quotePrefix="1" borderId="0" fillId="0" fontId="7" numFmtId="0" xfId="0" applyAlignment="1" applyFont="1">
      <alignment horizontal="center" readingOrder="0"/>
    </xf>
    <xf borderId="0" fillId="4" fontId="6" numFmtId="0" xfId="0" applyAlignment="1" applyFont="1">
      <alignment readingOrder="0"/>
    </xf>
    <xf borderId="0" fillId="4" fontId="6" numFmtId="164" xfId="0" applyAlignment="1" applyFont="1" applyNumberFormat="1">
      <alignment readingOrder="0"/>
    </xf>
    <xf borderId="0" fillId="0" fontId="7" numFmtId="164" xfId="0" applyAlignment="1" applyFont="1" applyNumberFormat="1">
      <alignment horizontal="right" readingOrder="0" vertical="bottom"/>
    </xf>
    <xf borderId="0" fillId="0" fontId="18" numFmtId="0" xfId="0" applyAlignment="1" applyFont="1">
      <alignment horizontal="center"/>
    </xf>
    <xf borderId="0" fillId="0" fontId="19" numFmtId="0" xfId="0" applyAlignment="1" applyFont="1">
      <alignment horizontal="center" readingOrder="0"/>
    </xf>
    <xf borderId="0" fillId="0" fontId="20" numFmtId="0" xfId="0" applyAlignment="1" applyFont="1">
      <alignment horizontal="center" readingOrder="0"/>
    </xf>
    <xf borderId="0" fillId="0" fontId="21" numFmtId="0" xfId="0" applyAlignment="1" applyFont="1">
      <alignment horizontal="center" readingOrder="0"/>
    </xf>
    <xf borderId="0" fillId="0" fontId="22" numFmtId="0" xfId="0" applyAlignment="1" applyFont="1">
      <alignment horizontal="center" readingOrder="0"/>
    </xf>
    <xf borderId="0" fillId="0" fontId="13" numFmtId="0" xfId="0" applyAlignment="1" applyFont="1">
      <alignment horizontal="center" readingOrder="0"/>
    </xf>
    <xf borderId="0" fillId="0" fontId="18" numFmtId="0" xfId="0" applyAlignment="1" applyFont="1">
      <alignment horizontal="center" readingOrder="0"/>
    </xf>
    <xf borderId="0" fillId="0" fontId="18" numFmtId="169" xfId="0" applyAlignment="1" applyFont="1" applyNumberFormat="1">
      <alignment horizontal="center" readingOrder="0"/>
    </xf>
    <xf borderId="0" fillId="0" fontId="23" numFmtId="0" xfId="0" applyAlignment="1" applyFont="1">
      <alignment horizontal="left" readingOrder="0"/>
    </xf>
    <xf borderId="0" fillId="0" fontId="18" numFmtId="164" xfId="0" applyAlignment="1" applyFont="1" applyNumberFormat="1">
      <alignment horizontal="right" readingOrder="0"/>
    </xf>
    <xf borderId="11" fillId="0" fontId="18" numFmtId="164" xfId="0" applyAlignment="1" applyBorder="1" applyFont="1" applyNumberFormat="1">
      <alignment horizontal="right" readingOrder="0"/>
    </xf>
    <xf borderId="11" fillId="0" fontId="18" numFmtId="164" xfId="0" applyAlignment="1" applyBorder="1" applyFont="1" applyNumberFormat="1">
      <alignment horizontal="right"/>
    </xf>
    <xf borderId="0" fillId="0" fontId="18" numFmtId="0" xfId="0" applyAlignment="1" applyFont="1">
      <alignment horizontal="right"/>
    </xf>
    <xf borderId="0" fillId="0" fontId="18" numFmtId="0" xfId="0" applyAlignment="1" applyFont="1">
      <alignment horizontal="right" readingOrder="0"/>
    </xf>
    <xf borderId="0" fillId="0" fontId="18" numFmtId="164" xfId="0" applyAlignment="1" applyFont="1" applyNumberFormat="1">
      <alignment horizontal="right"/>
    </xf>
    <xf borderId="0" fillId="0" fontId="24" numFmtId="0" xfId="0" applyAlignment="1" applyFont="1">
      <alignment horizontal="center" readingOrder="0"/>
    </xf>
    <xf borderId="0" fillId="0" fontId="24" numFmtId="0" xfId="0" applyAlignment="1" applyFont="1">
      <alignment horizontal="right"/>
    </xf>
    <xf borderId="0" fillId="0" fontId="24" numFmtId="164" xfId="0" applyAlignment="1" applyFont="1" applyNumberFormat="1">
      <alignment horizontal="right" readingOrder="0"/>
    </xf>
    <xf borderId="0" fillId="0" fontId="24" numFmtId="0" xfId="0" applyAlignment="1" applyFont="1">
      <alignment horizontal="center"/>
    </xf>
    <xf borderId="0" fillId="0" fontId="24" numFmtId="170" xfId="0" applyAlignment="1" applyFont="1" applyNumberFormat="1">
      <alignment horizontal="right" readingOrder="0"/>
    </xf>
    <xf borderId="0" fillId="10" fontId="6" numFmtId="0" xfId="0" applyAlignment="1" applyFont="1">
      <alignment horizontal="center" readingOrder="0"/>
    </xf>
    <xf borderId="0" fillId="0" fontId="25" numFmtId="0" xfId="0" applyAlignment="1" applyFont="1">
      <alignment horizontal="center"/>
    </xf>
    <xf borderId="0" fillId="0" fontId="5" numFmtId="0" xfId="0" applyAlignment="1" applyFont="1">
      <alignment horizontal="right"/>
    </xf>
    <xf borderId="0" fillId="0" fontId="5" numFmtId="0" xfId="0" applyAlignment="1" applyFont="1">
      <alignment horizontal="right" readingOrder="0"/>
    </xf>
    <xf borderId="0" fillId="0" fontId="25" numFmtId="164" xfId="0" applyAlignment="1" applyFont="1" applyNumberFormat="1">
      <alignment horizontal="right"/>
    </xf>
    <xf borderId="0" fillId="0" fontId="25" numFmtId="164" xfId="0" applyAlignment="1" applyFont="1" applyNumberFormat="1">
      <alignment horizontal="right" readingOrder="0"/>
    </xf>
    <xf borderId="0" fillId="0" fontId="3" numFmtId="0" xfId="0" applyAlignment="1" applyFont="1">
      <alignment readingOrder="0" shrinkToFit="0" wrapText="0"/>
    </xf>
    <xf borderId="0" fillId="0" fontId="3" numFmtId="0" xfId="0" applyAlignment="1" applyFont="1">
      <alignment readingOrder="0"/>
    </xf>
    <xf borderId="12" fillId="0" fontId="26" numFmtId="0" xfId="0" applyAlignment="1" applyBorder="1" applyFont="1">
      <alignment shrinkToFit="0" wrapText="0"/>
    </xf>
    <xf borderId="13" fillId="2" fontId="27" numFmtId="0" xfId="0" applyAlignment="1" applyBorder="1" applyFont="1">
      <alignment horizontal="left" readingOrder="0"/>
    </xf>
    <xf borderId="13" fillId="0" fontId="28" numFmtId="0" xfId="0" applyAlignment="1" applyBorder="1" applyFont="1">
      <alignment horizontal="left" readingOrder="0"/>
    </xf>
    <xf borderId="13" fillId="2" fontId="27" numFmtId="0" xfId="0" applyAlignment="1" applyBorder="1" applyFont="1">
      <alignment horizontal="left"/>
    </xf>
    <xf borderId="0" fillId="0" fontId="3" numFmtId="0" xfId="0" applyFont="1"/>
    <xf borderId="0" fillId="0" fontId="18" numFmtId="164" xfId="0" applyAlignment="1" applyFont="1" applyNumberFormat="1">
      <alignment horizontal="center" readingOrder="0"/>
    </xf>
    <xf borderId="0" fillId="2" fontId="27" numFmtId="164" xfId="0" applyAlignment="1" applyFont="1" applyNumberFormat="1">
      <alignment horizontal="center" readingOrder="0"/>
    </xf>
    <xf borderId="0" fillId="0" fontId="3" numFmtId="164" xfId="0" applyAlignment="1" applyFont="1" applyNumberFormat="1">
      <alignment horizontal="center"/>
    </xf>
    <xf borderId="0" fillId="0" fontId="25" numFmtId="164" xfId="0" applyAlignment="1" applyFont="1" applyNumberFormat="1">
      <alignment horizontal="center"/>
    </xf>
    <xf borderId="0" fillId="0" fontId="25" numFmtId="164" xfId="0" applyAlignment="1" applyFont="1" applyNumberFormat="1">
      <alignment horizontal="center" readingOrder="0"/>
    </xf>
    <xf borderId="0" fillId="0" fontId="9" numFmtId="164" xfId="0" applyFont="1" applyNumberFormat="1"/>
    <xf borderId="0" fillId="0" fontId="13" numFmtId="164" xfId="0" applyAlignment="1" applyFont="1" applyNumberFormat="1">
      <alignment horizontal="left" readingOrder="0" vertical="bottom"/>
    </xf>
    <xf borderId="0" fillId="0" fontId="29" numFmtId="0" xfId="0" applyAlignment="1" applyFont="1">
      <alignment readingOrder="0" shrinkToFit="0" wrapText="0"/>
    </xf>
    <xf borderId="0" fillId="0" fontId="9" numFmtId="0" xfId="0" applyFont="1"/>
    <xf borderId="0" fillId="0" fontId="9" numFmtId="171" xfId="0" applyFont="1" applyNumberFormat="1"/>
    <xf borderId="0" fillId="5" fontId="1" numFmtId="164" xfId="0" applyFont="1" applyNumberFormat="1"/>
    <xf borderId="0" fillId="9" fontId="1" numFmtId="164" xfId="0" applyFont="1" applyNumberFormat="1"/>
    <xf borderId="0" fillId="8" fontId="1" numFmtId="164" xfId="0" applyFont="1" applyNumberFormat="1"/>
    <xf borderId="0" fillId="0" fontId="24" numFmtId="0" xfId="0" applyAlignment="1" applyFont="1">
      <alignment horizontal="left" readingOrder="0"/>
    </xf>
    <xf borderId="0" fillId="0" fontId="30" numFmtId="0" xfId="0" applyAlignment="1" applyFont="1">
      <alignment readingOrder="0"/>
    </xf>
    <xf borderId="0" fillId="0" fontId="30" numFmtId="0" xfId="0" applyFont="1"/>
    <xf borderId="11" fillId="0" fontId="30" numFmtId="164" xfId="0" applyBorder="1" applyFont="1" applyNumberFormat="1"/>
    <xf borderId="0" fillId="0" fontId="13" numFmtId="0" xfId="0" applyAlignment="1" applyFont="1">
      <alignment horizontal="lef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7-REN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88" sheet="MONTHLY CF"/>
  </cacheSource>
  <cacheFields>
    <cacheField name="#" numFmtId="0">
      <sharedItems containsSemiMixedTypes="0" containsString="0" containsNumber="1" containsInteger="1">
        <n v="1.0"/>
        <n v="2.0"/>
        <n v="3.0"/>
        <n v="4.0"/>
        <n v="5.0"/>
        <n v="6.0"/>
        <n v="7.0"/>
        <n v="8.0"/>
        <n v="9.0"/>
        <n v="10.0"/>
        <n v="1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25.0"/>
        <n v="164.0"/>
        <n v="165.0"/>
        <n v="166.0"/>
        <n v="175.0"/>
        <n v="180.0"/>
        <n v="28.0"/>
        <n v="171.0"/>
        <n v="140.0"/>
        <n v="123.0"/>
        <n v="128.0"/>
        <n v="29.0"/>
        <n v="30.0"/>
        <n v="31.0"/>
        <n v="173.0"/>
        <n v="174.0"/>
        <n v="73.0"/>
        <n v="74.0"/>
        <n v="75.0"/>
        <n v="76.0"/>
        <n v="77.0"/>
        <n v="81.0"/>
        <n v="82.0"/>
        <n v="83.0"/>
        <n v="84.0"/>
        <n v="78.0"/>
        <n v="79.0"/>
        <n v="80.0"/>
        <n v="26.0"/>
        <n v="27.0"/>
        <n v="12.0"/>
        <n v="13.0"/>
        <n v="14.0"/>
        <n v="15.0"/>
        <n v="16.0"/>
        <n v="20.0"/>
        <n v="21.0"/>
        <n v="17.0"/>
        <n v="18.0"/>
        <n v="19.0"/>
        <n v="85.0"/>
        <n v="86.0"/>
        <n v="87.0"/>
        <n v="88.0"/>
        <n v="89.0"/>
        <n v="90.0"/>
        <n v="91.0"/>
        <n v="92.0"/>
        <n v="93.0"/>
        <n v="94.0"/>
        <n v="95.0"/>
        <n v="122.0"/>
        <n v="103.0"/>
        <n v="102.0"/>
        <n v="108.0"/>
        <n v="110.0"/>
        <n v="96.0"/>
        <n v="97.0"/>
        <n v="98.0"/>
        <n v="99.0"/>
        <n v="100.0"/>
        <n v="101.0"/>
        <n v="106.0"/>
        <n v="105.0"/>
        <n v="111.0"/>
        <n v="23.0"/>
        <n v="24.0"/>
        <n v="107.0"/>
        <n v="158.0"/>
        <n v="157.0"/>
        <n v="162.0"/>
        <n v="163.0"/>
        <n v="159.0"/>
        <n v="161.0"/>
        <n v="160.0"/>
        <n v="121.0"/>
        <n v="132.0"/>
        <n v="112.0"/>
        <n v="113.0"/>
        <n v="114.0"/>
        <n v="115.0"/>
        <n v="116.0"/>
        <n v="117.0"/>
        <n v="118.0"/>
        <n v="133.0"/>
        <n v="134.0"/>
        <n v="135.0"/>
        <n v="139.0"/>
        <n v="136.0"/>
        <n v="137.0"/>
        <n v="138.0"/>
        <n v="119.0"/>
        <n v="156.0"/>
        <n v="120.0"/>
        <n v="141.0"/>
        <n v="126.0"/>
        <n v="142.0"/>
        <n v="125.0"/>
        <n v="153.0"/>
        <n v="127.0"/>
        <n v="144.0"/>
        <n v="145.0"/>
        <n v="146.0"/>
        <n v="148.0"/>
        <n v="147.0"/>
        <n v="149.0"/>
        <n v="150.0"/>
        <n v="151.0"/>
        <n v="152.0"/>
        <n v="155.0"/>
        <n v="154.0"/>
        <n v="129.0"/>
        <n v="167.0"/>
        <n v="170.0"/>
        <n v="176.0"/>
        <n v="169.0"/>
        <n v="178.0"/>
        <n v="131.0"/>
        <n v="177.0"/>
        <n v="130.0"/>
        <n v="172.0"/>
        <n v="188.0"/>
        <n v="187.0"/>
        <n v="186.0"/>
        <n v="124.0"/>
        <n v="181.0"/>
        <n v="185.0"/>
        <n v="190.0"/>
      </sharedItems>
    </cacheField>
    <cacheField name="RECURRING" numFmtId="0">
      <sharedItems>
        <s v="-"/>
        <s v="SEMI"/>
        <s v="NO"/>
        <s v="YES"/>
        <s v="YES A"/>
      </sharedItems>
    </cacheField>
    <cacheField name="DAY">
      <sharedItems containsMixedTypes="1" containsNumber="1" containsInteger="1">
        <s v="-"/>
        <n v="1.0"/>
        <n v="3.0"/>
        <n v="2.0"/>
        <n v="6.0"/>
        <n v="4.0"/>
        <n v="5.0"/>
        <n v="7.0"/>
        <n v="8.0"/>
        <n v="9.0"/>
        <n v="19.0"/>
        <n v="10.0"/>
        <n v="14.0"/>
        <n v="15.0"/>
        <n v="16.0"/>
        <n v="17.0"/>
        <n v="18.0"/>
        <n v="20.0"/>
        <n v="21.0"/>
        <n v="27.0"/>
        <n v="23.0"/>
        <n v="28.0"/>
        <n v="31.0"/>
      </sharedItems>
    </cacheField>
    <cacheField name="BANK" numFmtId="0">
      <sharedItems>
        <s v="CON"/>
        <s v="SAN"/>
        <s v="STAR"/>
      </sharedItems>
    </cacheField>
    <cacheField name="ACCT">
      <sharedItems containsMixedTypes="1" containsNumber="1" containsInteger="1">
        <s v="-"/>
        <n v="200.0"/>
        <n v="351.0"/>
        <n v="802.0"/>
        <n v="350.0"/>
        <n v="325.0"/>
        <n v="360.0"/>
        <n v="329.0"/>
        <n v="835.0"/>
        <n v="892.0"/>
        <n v="653.0"/>
        <n v="409.0"/>
        <n v="310.0"/>
        <n v="320.0"/>
        <n v="421.0"/>
        <n v="431.0"/>
        <n v="321.0"/>
        <n v="324.0"/>
        <n v="326.0"/>
        <n v="333.0"/>
        <n v="335.0"/>
        <n v="340.0"/>
        <n v="404.0"/>
        <n v="322.0"/>
        <n v="422.0"/>
        <n v="323.0"/>
        <n v="361.0"/>
        <n v="441.0"/>
        <n v="402.0"/>
        <n v="327.0"/>
        <n v="902.0"/>
        <n v="442.0"/>
        <n v="362.0"/>
        <n v="363.0"/>
        <n v="401.0"/>
        <n v="210.0"/>
        <n v="334.0"/>
        <n v="220.0"/>
        <n v="332.0"/>
        <n v="336.0"/>
      </sharedItems>
    </cacheField>
    <cacheField name="DESCRIPTION" numFmtId="0">
      <sharedItems>
        <s v="OPENING BANK BALANCES"/>
        <s v="RENT: PREPAID PRIOR MONTH"/>
        <s v="TENANCIES: DEPOSITS (TDS) [STARLING] "/>
        <s v="TENANCIES: DEPOSITS IN/OUT"/>
        <s v="TENANCIES: REFERENCES (ARTHUR)"/>
        <s v="TENANCIES: CLEANING ROOMS (BRIGHT &amp; BEAUTIFUL)"/>
        <s v="TENANCIES: ADS (SPAREROOM)"/>
        <s v="TENANCIES: VIEWINGS &amp; CHECK INS/OUTS"/>
        <s v="TRANSFERS: DIRECTOR LOAN "/>
        <s v="TRANSFERS: INTERBANK &amp; INTERCOMPANY "/>
        <s v="DEVELOPMENT "/>
        <s v="TRAVEL/SUSPENSE"/>
        <s v="RENT 10KG#1 "/>
        <s v="RENT 10KG#2"/>
        <s v="RENT 10KG#3"/>
        <s v="RENT 10KG#4"/>
        <s v="RENT 10KG#5"/>
        <s v="RENT 16RC#1"/>
        <s v="RENT 16RC#2"/>
        <s v="RENT 16RC#3"/>
        <s v="RENT 16RC#4"/>
        <s v="RENT 16RC#5"/>
        <s v="RENT 26BLA#1"/>
        <s v="RENT 26BLA#2 "/>
        <s v="RENT 26BLB#1 "/>
        <s v="RENT 26BLB#2 "/>
        <s v="RENT 26BLC#1 "/>
        <s v="RENT 26BLC#2 "/>
        <s v="RENT 27BLA#1"/>
        <s v="RENT 27BLA#2 "/>
        <s v="RENT 27BLB#1 "/>
        <s v="RENT 27BLB#2 "/>
        <s v="RENT 27BLC#1 "/>
        <s v="RENT 27BLD#1"/>
        <s v="RENT 32LFR#2 "/>
        <s v="RENT 32LFR#3"/>
        <s v="RENT 32LFR#4"/>
        <s v="RENT 32LFR#5"/>
        <s v="RENT 32LFR#6"/>
        <s v="RENT 32LFR#7"/>
        <s v="RENT 4WS#1 "/>
        <s v="RENT 4WS#2"/>
        <s v="RENT 4WS#3"/>
        <s v="RENT 4WS#4"/>
        <s v="RENT 4WS#5"/>
        <s v="RENT 4WS#6"/>
        <s v="RENT 4WS#7"/>
        <s v="RENT 84DD#1 "/>
        <s v="RENT 84DD#2"/>
        <s v="RENT 84DD#3"/>
        <s v="RENT 84DD#4"/>
        <s v="RENT 84DD#5"/>
        <s v="RENT 84DD#6"/>
        <s v="LENDINVEST 4WS"/>
        <s v="EON (27A)"/>
        <s v="EON (27B)"/>
        <s v="EON (27D)"/>
        <s v="TAXCALC [XERO TAX] EXPIRY 27.06.2026"/>
        <s v="HOXTON MIX"/>
        <s v="OCTOPUS ENERGY 10KG [A-2474F4DC] [5122540]"/>
        <s v="OCTOPUS ENERGY 16RC [A-1D659703]"/>
        <s v="OCTOPUS ENERGY 26BLA [A-D9D78B72]"/>
        <s v="OCTOPUS ENERGY 26BLB [A-29A4B3FE]"/>
        <s v="OCTOPUS ENERGY 26BLC [A-16FF9E82]"/>
        <s v="OCTOPUS ENERGY 32LFR [A-FF2EBA4D] [5170100]"/>
        <s v="OCTOPUS ENERGY 4WS [A-109F5A6B] [6412864] "/>
        <s v="OCTOPUS ENERGY 84DD [A-72C1E760] [5170280]"/>
        <s v="OCTOPUS ENERGY CORP (26BL) [A-90C87D45]"/>
        <s v="OCTOPUS ENERGY CORP (27BL) [A-26F63293]"/>
        <s v="SEVERN TRENT 10KG  [7030788008]"/>
        <s v="SEVERN TRENT 16RC [9260113256]"/>
        <s v="SEVERN TRENT 26BLA [9330100733]"/>
        <s v="SEVERN TRENT 26BLB [6550059115]"/>
        <s v="SEVERN TRENT 26BLC [2660094159]"/>
        <s v="SEVERN TRENT 27BLA [A-08014F4E]"/>
        <s v="SEVERN TRENT 27BLB [A-A2392AE4]"/>
        <s v="SEVERN TRENT 27BLC"/>
        <s v="SEVERN TRENT 27BLD [9520150408]"/>
        <s v="SEVERN TRENT 32LFR [3490110828]"/>
        <s v="SEVERN TRENT 4WS [8650156523]"/>
        <s v="SEVERN TRENT 84DD [1650063103]"/>
        <s v="NETFLIX 16RC [SANTANDER]"/>
        <s v="NETFLIX 32LFR [STARLING]"/>
        <s v="BRIGHT &amp; BEAUTIFUL 10KG"/>
        <s v="BRIGHT &amp; BEAUTIFUL 16RC"/>
        <s v="BRIGHT &amp; BEAUTIFUL 26BLA"/>
        <s v="BRIGHT &amp; BEAUTIFUL 26BLB"/>
        <s v="BRIGHT &amp; BEAUTIFUL 26BLC"/>
        <s v="BRIGHT &amp; BEAUTIFUL 27BLA"/>
        <s v="BRIGHT &amp; BEAUTIFUL 27BLB"/>
        <s v="BRIGHT &amp; BEAUTIFUL 32LFR"/>
        <s v="BRIGHT &amp; BEAUTIFUL 4WS"/>
        <s v="BRIGHT &amp; BEAUTIFUL 84DD"/>
        <s v="TV LICENSING 10KG [3937161469]"/>
        <s v="TV LICENSING 16RC [3875993337]"/>
        <s v="TV LICENSING 26BLA [4199974716]"/>
        <s v="TV LICENSING 26BLB [4199981569]"/>
        <s v="TV LICENSING 26BLC [4199975207]"/>
        <s v="TV LICENSING 27BLA [4260005194]"/>
        <s v="TV LICENSING 27BLB [4258327543]"/>
        <s v="TV LICENSING 27BLC [4263550293]"/>
        <s v="TV LICENSING 32LFR [3954898560]"/>
        <s v="TV LICENSING 4WS [4047064028]"/>
        <s v="TV LICENSING 84DD [3993365003]"/>
        <s v="PREMIUM CREDIT "/>
        <s v="D&amp;G APPLIANCE CARE "/>
        <s v="D&amp;G APPLIANCE CARE 4WS"/>
        <s v="AVIVA "/>
        <s v="MARSH COMMERCIAL"/>
        <s v="CHESHIRE WEST &amp; CHESTER COUNCIL 10KG"/>
        <s v="CHESHIRE WEST &amp; CHESTER COUNCIL 16RC"/>
        <s v="CHESHIRE WEST &amp; CHESTER COUNCIL 26BL/27BL"/>
        <s v="CHESHIRE WEST &amp; CHESTER COUNCIL 32LFR"/>
        <s v="CHESHIRE WEST &amp; CHESTER COUNCIL 4WS"/>
        <s v="CHESHIRE WEST &amp; CHESTER COUNCIL 84DD"/>
        <s v="GOOGLE WORKSPACE"/>
        <s v="GOOGLE VOICE"/>
        <s v="PRECISE MORTGAGES 32LFR"/>
        <s v="BRITISH TELECOM 26BLA"/>
        <s v="BRITISH TELECOM 26BLC"/>
        <s v="VODAFONE"/>
        <s v="PRESTIGE HAMPERS 10KG"/>
        <s v="PRESTIGE HAMPERS 16RC"/>
        <s v="PRESTIGE HAMPERS 26BL"/>
        <s v="PRESTIGE HAMPERS 27BL"/>
        <s v="PRESTIGE HAMPERS 32LFR"/>
        <s v="PRESTIGE HAMPERS 4WS"/>
        <s v="PRESTIGE HAMPERS 84DD"/>
        <s v="ARTHUR (FIX FLO)"/>
        <s v="AMAZON PRIME"/>
        <s v="DIRECTOR REMUNERATION"/>
        <s v="NETFLIX 10KG [STARLING]"/>
        <s v="LANDLORD BROADBAND 10KG"/>
        <s v="LANDLORD BROADBAND 16RC"/>
        <s v="LANDLORD BROADBAND 32LFR"/>
        <s v="LANDLORD BROADBAND 4WS"/>
        <s v="LANDLORD BROADBAND 84DD"/>
        <s v="ABBEY WINDOW CLEANING 10KG"/>
        <s v="ABBEY WINDOW CLEANING 16RC"/>
        <s v="ABBEY WINDOW CLEANING 26BL"/>
        <s v="ABBEY WINDOW CLEANING 27BL"/>
        <s v="ABBEY WINDOW CLEANING 32LFR"/>
        <s v="ABBEY WINDOW CLEANING 4WS"/>
        <s v="ABBEY WINDOW CLEANING 84DD"/>
        <s v="SANTANDER BUSINESS (BB LOAN)"/>
        <s v="VIRGIN BROADBAND 27BLA"/>
        <s v="EXPRESS VPN"/>
        <s v="LNPG"/>
        <s v="NRLA ANNUAL MEMBERSHIP"/>
        <s v="LAST PASS"/>
        <s v="MAINTENANCE SERVICES"/>
        <s v="PROPERTY FILTER"/>
        <s v="KENT RELIANCE 10KG"/>
        <s v="TRELLO"/>
        <s v="NETFLIX 84DD"/>
        <s v="TIME DOCTOR + FX"/>
        <s v="SCRIBE + FX"/>
        <s v="SANTANDER BUSINESS (FEES &amp; CHARGES)"/>
        <s v="XERO"/>
        <s v="SQUARESPACE "/>
        <s v="VIRGIN BROADBAND 26BLB"/>
        <s v="VIRGIN BROADBAND 27BLB"/>
        <s v="NETFLIX 4WS"/>
        <s v="INFORMATION COMMISIONERS OFFICE (ICO)"/>
        <s v="SKY 27BLD"/>
        <s v="ARTHUR (MONTHLY SUBSCRIPTION CHARGE)"/>
        <s v="EIGROUP"/>
        <s v="PROPERTY DATA "/>
        <s v="PROPERTYMARK"/>
        <s v="MONOCROM (26BL)"/>
        <s v="JOPHIEL PALMA [VA#1]"/>
        <s v="KENT RELIANCE 16RC"/>
        <s v="KENT RELIANCE 27BL"/>
        <s v="LANDBAY (84DD)"/>
        <s v="OPEN POSITION [VA#2]"/>
        <s v="CASHBACK FOR CREDIT TURNOVER AT 3.00% "/>
        <s v="PAUL'S GARDEN SERVICES"/>
        <s v="PROPERTY REDRESS SCHEME"/>
        <s v="JOPHIEL PALMA [VA#1] BONUS"/>
        <s v="INTEREST PAID AFTER TAX"/>
        <s v="ATW ELECTRICAL (EICR)"/>
        <s v="ATW ELECTRICAL (EMERGENCY LIGHT &amp; FIRE DETECTION)"/>
        <s v="ATW ELECTRICAL (PAT)"/>
        <s v="KEITH LLOYD (GAS SAFETY)"/>
        <s v="BRIGHT &amp; BEAUTIFUL (OVEN CLEANING)"/>
        <s v="FIVERR "/>
        <s v="CLOSING BANK BALANCES"/>
      </sharedItems>
    </cacheField>
    <cacheField name="REC TERM" numFmtId="0">
      <sharedItems containsBlank="1">
        <m/>
        <s v="RENT"/>
        <s v="TDS"/>
        <s v="DEPOSIT"/>
        <s v="ARTHUR"/>
        <s v="BRIGHT "/>
        <s v="SPAREROOM"/>
        <s v="LETTINGS"/>
        <s v="NICHOLAS DAVIDSON"/>
        <s v="TRANSFERS"/>
        <s v="MONABRI"/>
        <s v="TRAVEL"/>
        <s v="LENDINVEST"/>
        <s v="EON"/>
        <s v="TAXCALC"/>
        <s v="HOXTON"/>
        <s v="OCTOPUS"/>
        <s v="SEVERN"/>
        <s v="NETFLIX"/>
        <s v="BRIGHT"/>
        <s v="TV LICENSING"/>
        <s v="PREMIUM CREDIT"/>
        <s v="D&amp;G"/>
        <s v="AVIVA"/>
        <s v="CWAC"/>
        <s v="GOOGLE"/>
        <s v="PRECISE"/>
        <s v="BT"/>
        <s v="VODAFONE"/>
        <s v="PRESTIGE HAMPERS 10KG"/>
        <s v="PRESTIGE HAMPERS 16RC"/>
        <s v="PRESTIGE HAMPERS 26BL"/>
        <s v="PRESTIGE HAMPERS 27BL"/>
        <s v="PRESTIGE HAMPERS 32LFR"/>
        <s v="PRESTIGE HAMPERS 4WS"/>
        <s v="PRESTIGE HAMPERS 84DD"/>
        <s v="AMAZON"/>
        <s v="LANDLORD BROADBAND"/>
        <s v="ABBEY WINDOW CLEANING"/>
        <s v="SANTANDER"/>
        <s v="VIRGIN BROADBAND"/>
        <s v="EXPRESS VPN"/>
        <s v="LNPG"/>
        <s v="NRLA ANNUAL MEMBERSHIP"/>
        <s v="LAST PASS"/>
        <s v="MAINTENANCE"/>
        <s v="PROPERTY FILTER &amp; REPLIT"/>
        <s v="KENT RELIANCE"/>
        <s v="TRELLO"/>
        <s v="TIME DOCTOR"/>
        <s v="SCRIBE"/>
        <s v="XERO"/>
        <s v="SQUARESPACE "/>
        <s v="INFORMATION COMMISIONERS OFFICE (ICO)"/>
        <s v="SKY"/>
        <s v="EIGROUP"/>
        <s v="PROPERTY DATA "/>
        <s v="PROPERTYMARK"/>
        <s v="LANDBAY"/>
        <s v="JOPHIEL PALMA [VA#1]"/>
        <s v="OPEN POSITION [VA#2]"/>
        <s v="GARDENING"/>
        <s v="PROPERTY REDRESS SCHEME"/>
        <s v="JOPHIEL PALMA [VA#1] BONUS"/>
        <s v="ATW ELECTRICAL"/>
        <s v="KEITH LLOYD"/>
        <s v="BRIGHT &amp; BEAUTIFUL"/>
        <s v="FIVERR "/>
      </sharedItems>
    </cacheField>
    <cacheField name="R" numFmtId="0">
      <sharedItems containsBlank="1">
        <m/>
        <s v="XP"/>
        <s v="X"/>
      </sharedItems>
    </cacheField>
    <cacheField name="  Oct 2025" numFmtId="164">
      <sharedItems containsString="0" containsBlank="1" containsNumber="1">
        <n v="33619.8"/>
        <n v="-825.0"/>
        <n v="-53.849999999999994"/>
        <n v="181.0000000000001"/>
        <n v="-91.16"/>
        <n v="-206.25"/>
        <n v="-19.0"/>
        <n v="-380.0"/>
        <n v="-5033.9"/>
        <n v="0.0"/>
        <n v="-31500.0"/>
        <n v="650.0"/>
        <n v="675.0"/>
        <n v="689.51"/>
        <n v="625.0"/>
        <n v="700.0"/>
        <n v="708.0699999999999"/>
        <n v="750.0"/>
        <n v="725.0"/>
        <n v="875.0"/>
        <n v="1170.0"/>
        <n v="696.77"/>
        <n v="655.0"/>
        <n v="695.0"/>
        <n v="-1045.02"/>
        <n v="-99.32"/>
        <n v="-106.17"/>
        <n v="-111.3"/>
        <n v="-100.0"/>
        <n v="-62.38"/>
        <n v="-228.34"/>
        <n v="-280.0"/>
        <n v="-72.39"/>
        <n v="-126.96"/>
        <n v="-132.5"/>
        <n v="-361.96"/>
        <n v="-389.08"/>
        <n v="-289.09"/>
        <n v="-26.8"/>
        <n v="-57.54"/>
        <n v="-69.75"/>
        <n v="-115.61"/>
        <n v="-40.26"/>
        <n v="-42.03"/>
        <n v="-25.25"/>
        <n v="-14.489999999999998"/>
        <n v="-128.6"/>
        <n v="-123.85"/>
        <n v="-82.68"/>
        <n v="-5.99"/>
        <n v="-117.7"/>
        <n v="-76.17"/>
        <n v="-85.7"/>
        <n v="-14.95"/>
        <n v="-15.0"/>
        <n v="-14.12"/>
        <n v="-14.56"/>
        <n v="-317.66"/>
        <n v="-13.81"/>
        <n v="-9.5"/>
        <n v="-103.08"/>
        <n v="-75.2"/>
        <n v="-153.0"/>
        <n v="-177.0"/>
        <n v="-393.0"/>
        <n v="-175.0"/>
        <n v="-196.0"/>
        <n v="-30.82"/>
        <n v="-15.76"/>
        <n v="-1161.92"/>
        <n v="-28.71"/>
        <n v="-37.86"/>
        <n v="-22.96"/>
        <m/>
        <n v="-19.68"/>
        <n v="-66.22"/>
        <n v="-63.4"/>
        <n v="-71.54"/>
        <n v="-476.54"/>
        <n v="-29.99"/>
        <n v="-32.27"/>
        <n v="-1657.4"/>
        <n v="-656.12"/>
        <n v="-37.31"/>
        <n v="-22.44"/>
        <n v="-12.5"/>
        <n v="-96.9"/>
        <n v="-32.23"/>
        <n v="-38.68"/>
        <n v="-27.0"/>
        <n v="-61.5"/>
        <n v="-115.0"/>
        <n v="-16.8"/>
        <n v="-295.0"/>
        <n v="-1902.59"/>
        <n v="-826.93"/>
        <n v="-2475.36"/>
        <n v="-1027.36"/>
        <n v="300.0"/>
        <n v="-534.0"/>
        <n v="1.72"/>
        <n v="3989.7199999999953"/>
      </sharedItems>
    </cacheField>
    <cacheField name="  Nov 2025" numFmtId="164">
      <sharedItems containsString="0" containsBlank="1" containsNumber="1">
        <n v="3989.7199999999953"/>
        <n v="1425.0"/>
        <n v="0.0"/>
        <n v="-48.0"/>
        <n v="-3047.86"/>
        <n v="-1282.76"/>
        <n v="-7312.5"/>
        <n v="675.0"/>
        <n v="700.0"/>
        <n v="650.0"/>
        <n v="725.0"/>
        <n v="750.0"/>
        <n v="875.0"/>
        <n v="1170.0"/>
        <n v="655.0"/>
        <n v="695.0"/>
        <n v="-1045.02"/>
        <n v="-99.32"/>
        <n v="-106.17"/>
        <n v="-111.3"/>
        <n v="-228.34"/>
        <n v="-324.84"/>
        <n v="-72.39"/>
        <n v="-126.96"/>
        <n v="-132.5"/>
        <n v="-361.96"/>
        <n v="-389.08"/>
        <n v="-289.09"/>
        <n v="-26.8"/>
        <n v="-101.98"/>
        <n v="-69.75"/>
        <n v="-115.61"/>
        <n v="-40.26"/>
        <n v="-42.03"/>
        <n v="-25.25"/>
        <n v="-29.49"/>
        <n v="-29.66"/>
        <n v="-10.12"/>
        <n v="-128.6"/>
        <n v="-123.85"/>
        <n v="-82.68"/>
        <n v="-5.99"/>
        <n v="-117.7"/>
        <n v="-76.17"/>
        <n v="-85.7"/>
        <n v="-15.03"/>
        <n v="-15.0"/>
        <n v="-14.12"/>
        <n v="-14.54"/>
        <n v="-14.95"/>
        <n v="-317.66"/>
        <n v="-13.81"/>
        <n v="-9.5"/>
        <n v="-103.08"/>
        <n v="-75.2"/>
        <n v="-153.0"/>
        <n v="-177.0"/>
        <n v="-393.0"/>
        <n v="-175.0"/>
        <n v="-196.0"/>
        <n v="-38.82"/>
        <n v="-14.94"/>
        <n v="-1161.92"/>
        <n v="-28.71"/>
        <n v="-37.86"/>
        <m/>
        <n v="-19.68"/>
        <n v="-66.22"/>
        <n v="-63.4"/>
        <n v="-71.54"/>
        <n v="-475.8"/>
        <n v="-29.99"/>
        <n v="-1099.58"/>
        <n v="-656.12"/>
        <n v="-59.5"/>
        <n v="-22.779999999999998"/>
        <n v="-12.5"/>
        <n v="-96.9"/>
        <n v="-32.23"/>
        <n v="-38.68"/>
        <n v="-27.0"/>
        <n v="-61.5"/>
        <n v="-115.0"/>
        <n v="-16.8"/>
        <n v="-1902.59"/>
        <n v="-1004.7900000000001"/>
        <n v="-826.93"/>
        <n v="-2475.36"/>
        <n v="-1027.36"/>
        <n v="-485.62"/>
        <n v="-198.0"/>
        <n v="-118.08999999999999"/>
        <n v="2225.4500000000016"/>
      </sharedItems>
    </cacheField>
    <cacheField name="  Dec 2025" numFmtId="164">
      <sharedItems containsString="0" containsBlank="1" containsNumber="1">
        <n v="2225.4500000000016"/>
        <n v="715.3199999999997"/>
        <n v="-17.95"/>
        <n v="775.0"/>
        <n v="-22.79"/>
        <n v="-70.0"/>
        <n v="-87.0"/>
        <n v="-46.8"/>
        <n v="-4313.09"/>
        <n v="1282.76"/>
        <n v="-7312.5"/>
        <n v="65.51"/>
        <n v="675.0"/>
        <n v="700.0"/>
        <n v="650.0"/>
        <n v="725.0"/>
        <n v="750.0"/>
        <n v="875.0"/>
        <n v="1170.0"/>
        <n v="655.0"/>
        <n v="695.0"/>
        <n v="-1045.02"/>
        <n v="-99.32"/>
        <n v="-106.17"/>
        <n v="-78.64"/>
        <n v="-100.0"/>
        <n v="-62.38"/>
        <n v="-200.0"/>
        <n v="-324.84"/>
        <n v="-91.51"/>
        <n v="-126.96"/>
        <n v="-132.5"/>
        <n v="-26.8"/>
        <n v="-101.98"/>
        <n v="-69.75"/>
        <n v="-115.61"/>
        <n v="-63.81"/>
        <n v="-42.03"/>
        <n v="-35.69"/>
        <n v="-29.49"/>
        <n v="-29.66"/>
        <m/>
        <n v="-10.12"/>
        <n v="-128.6"/>
        <n v="-123.85"/>
        <n v="-82.68"/>
        <n v="-5.99"/>
        <n v="-117.7"/>
        <n v="-76.17"/>
        <n v="-85.7"/>
        <n v="-14.95"/>
        <n v="-15.0"/>
        <n v="-14.12"/>
        <n v="-14.54"/>
        <n v="-317.66"/>
        <n v="-13.81"/>
        <n v="-9.5"/>
        <n v="-103.08"/>
        <n v="-75.2"/>
        <n v="-153.0"/>
        <n v="-177.0"/>
        <n v="-393.0"/>
        <n v="-175.0"/>
        <n v="-196.0"/>
        <n v="-42.02"/>
        <n v="-23.17"/>
        <n v="-1161.92"/>
        <n v="-28.71"/>
        <n v="-37.86"/>
        <n v="-22.96"/>
        <n v="-176.48"/>
        <n v="-184.44"/>
        <n v="-215.92"/>
        <n v="-19.68"/>
        <n v="-66.23"/>
        <n v="-63.396"/>
        <n v="-71.54"/>
        <n v="-66.216"/>
        <n v="-20.0"/>
        <n v="-42.0"/>
        <n v="-68.0"/>
        <n v="-34.0"/>
        <n v="-30.0"/>
        <n v="-474.61"/>
        <n v="-29.99"/>
        <n v="-1215.6299999999999"/>
        <n v="-656.12"/>
        <n v="-55.57"/>
        <n v="-22.36"/>
        <n v="-9.99"/>
        <n v="-96.9"/>
        <n v="-48.38"/>
        <n v="-38.68"/>
        <n v="-27.0"/>
        <n v="-61.5"/>
        <n v="-115.0"/>
        <n v="-1902.59"/>
        <n v="-484.79"/>
        <n v="-826.93"/>
        <n v="-2475.36"/>
        <n v="-1027.36"/>
        <n v="-485.92"/>
        <n v="0.0"/>
        <n v="-80.0"/>
        <n v="1793.7720000000027"/>
      </sharedItems>
    </cacheField>
    <cacheField name="  Jan 2026" numFmtId="164">
      <sharedItems containsString="0" containsBlank="1" containsNumber="1">
        <n v="1793.7720000000027"/>
        <n v="-1350.0"/>
        <n v="-17.95"/>
        <n v="-1004.0"/>
        <n v="-45.58"/>
        <n v="-139.5"/>
        <n v="-84.2"/>
        <n v="-46.8"/>
        <n v="-6523.969999999999"/>
        <n v="0.0"/>
        <n v="-104.28"/>
        <n v="675.0"/>
        <n v="700.0"/>
        <n v="650.0"/>
        <n v="725.0"/>
        <n v="750.0"/>
        <n v="130.64"/>
        <n v="875.0"/>
        <n v="1170.0"/>
        <n v="500.8"/>
        <n v="655.0"/>
        <n v="695.0"/>
        <n v="-1045.02"/>
        <n v="-114.61"/>
        <n v="-106.17"/>
        <n v="-78.64"/>
        <n v="-50.0"/>
        <n v="-31.19"/>
        <n v="-200.0"/>
        <n v="-324.84"/>
        <n v="-91.51"/>
        <n v="-126.96"/>
        <n v="-132.5"/>
        <n v="-26.8"/>
        <n v="-101.98"/>
        <n v="-111.01"/>
        <n v="-115.61"/>
        <n v="-48.19"/>
        <n v="-46.91"/>
        <n v="-20.4"/>
        <n v="-29.49"/>
        <n v="-29.66"/>
        <m/>
        <n v="-10.12"/>
        <n v="-76.24"/>
        <n v="-82.68"/>
        <n v="-5.99"/>
        <n v="-117.7"/>
        <n v="-76.17"/>
        <n v="-85.7"/>
        <n v="-14.95"/>
        <n v="-15.0"/>
        <n v="-14.12"/>
        <n v="-14.54"/>
        <n v="-15.03"/>
        <n v="-317.66"/>
        <n v="-13.81"/>
        <n v="-9.5"/>
        <n v="-103.08"/>
        <n v="-75.2"/>
        <n v="-153.0"/>
        <n v="-177.0"/>
        <n v="-393.0"/>
        <n v="-175.0"/>
        <n v="-196.0"/>
        <n v="-40.56"/>
        <n v="-22.92"/>
        <n v="-1161.92"/>
        <n v="-28.71"/>
        <n v="-28.69"/>
        <n v="-11.48"/>
        <n v="-19.68"/>
        <n v="-66.23"/>
        <n v="-63.396"/>
        <n v="-71.54"/>
        <n v="-66.216"/>
        <n v="-473.81"/>
        <n v="-29.99"/>
        <n v="-1549.17"/>
        <n v="-656.12"/>
        <n v="-36.84"/>
        <n v="-22.35"/>
        <n v="-9.99"/>
        <n v="-96.9"/>
        <n v="-43.0"/>
        <n v="-38.68"/>
        <n v="-27.0"/>
        <n v="-61.5"/>
        <n v="-115.0"/>
        <n v="-1902.59"/>
        <n v="-523.62"/>
        <n v="-826.93"/>
        <n v="-2475.36"/>
        <n v="-1027.36"/>
        <n v="-540.11"/>
        <n v="-240.0"/>
        <n v="1572.9939999999992"/>
      </sharedItems>
    </cacheField>
    <cacheField name="  Feb 2026" numFmtId="164">
      <sharedItems containsString="0" containsBlank="1" containsNumber="1">
        <n v="1572.9939999999992"/>
        <n v="609.67"/>
        <n v="0.0"/>
        <n v="-505.0"/>
        <n v="-45.58"/>
        <n v="-63.0"/>
        <n v="-83.2"/>
        <n v="-276.8"/>
        <n v="-9937.21"/>
        <n v="-13.230000000000004"/>
        <n v="-0.01"/>
        <n v="675.0"/>
        <n v="700.0"/>
        <n v="650.0"/>
        <n v="725.0"/>
        <n v="750.0"/>
        <n v="875.0"/>
        <n v="1170.0"/>
        <n v="655.0"/>
        <n v="695.0"/>
        <n v="289.28"/>
        <n v="-1045.02"/>
        <n v="-114.61"/>
        <n v="-106.17"/>
        <n v="-78.64"/>
        <n v="-200.0"/>
        <n v="-324.84"/>
        <n v="-91.51"/>
        <n v="-85.5"/>
        <n v="-100.36"/>
        <n v="-26.8"/>
        <n v="-101.98"/>
        <n v="-111.01"/>
        <n v="-115.61"/>
        <n v="-48.19"/>
        <n v="-46.91"/>
        <n v="-20.4"/>
        <n v="-29.49"/>
        <n v="-29.66"/>
        <m/>
        <n v="-10.12"/>
        <n v="-76.24"/>
        <n v="-82.68"/>
        <n v="-5.99"/>
        <n v="-117.7"/>
        <n v="-76.17"/>
        <n v="-85.7"/>
        <n v="-14.95"/>
        <n v="-15.0"/>
        <n v="-14.12"/>
        <n v="-14.54"/>
        <n v="-317.66"/>
        <n v="-19.32"/>
        <n v="-9.5"/>
        <n v="-103.08"/>
        <n v="-75.2"/>
        <n v="-153.0"/>
        <n v="-177.0"/>
        <n v="-393.0"/>
        <n v="-175.0"/>
        <n v="-196.0"/>
        <n v="-33.64"/>
        <n v="-23.96"/>
        <n v="-1161.92"/>
        <n v="-28.71"/>
        <n v="-32.86"/>
        <n v="-19.68"/>
        <n v="-66.23"/>
        <n v="-63.396"/>
        <n v="-71.54"/>
        <n v="-66.216"/>
        <n v="-472.81"/>
        <n v="-29.99"/>
        <n v="-1735.33"/>
        <n v="-184.08999999999997"/>
        <n v="-656.12"/>
        <n v="-36.37"/>
        <n v="-21.97"/>
        <n v="-9.99"/>
        <n v="-96.9"/>
        <n v="-172.8"/>
        <n v="-43.0"/>
        <n v="-38.68"/>
        <n v="-27.0"/>
        <n v="-66.42"/>
        <n v="-115.0"/>
        <n v="-1902.59"/>
        <n v="-556.22"/>
        <n v="-826.93"/>
        <n v="-2475.36"/>
        <n v="-1027.36"/>
        <n v="375.99599999998895"/>
      </sharedItems>
    </cacheField>
    <cacheField name="  Mar 2026" numFmtId="164">
      <sharedItems containsString="0" containsBlank="1" containsNumber="1">
        <n v="375.99599999998895"/>
        <n v="-6529.67"/>
        <n v="-17.95"/>
        <n v="600.0"/>
        <m/>
        <n v="-9199.75"/>
        <n v="0.0"/>
        <n v="-71.32"/>
        <n v="675.0"/>
        <n v="700.0"/>
        <n v="650.0"/>
        <n v="725.0"/>
        <n v="750.0"/>
        <n v="875.0"/>
        <n v="1170.0"/>
        <n v="695.0"/>
        <n v="655.0"/>
        <n v="-1045.02"/>
        <n v="-114.61"/>
        <n v="-50.23"/>
        <n v="-78.64"/>
        <n v="-50.0"/>
        <n v="-31.19"/>
        <n v="-200.0"/>
        <n v="-324.84"/>
        <n v="-91.51"/>
        <n v="-85.5"/>
        <n v="-100.36"/>
        <n v="-26.8"/>
        <n v="-101.98"/>
        <n v="-111.01"/>
        <n v="-48.19"/>
        <n v="-46.91"/>
        <n v="-20.4"/>
        <n v="-29.49"/>
        <n v="-29.66"/>
        <n v="-10.12"/>
        <n v="-76.24"/>
        <n v="-82.68"/>
        <n v="-5.99"/>
        <n v="-117.7"/>
        <n v="-76.17"/>
        <n v="-85.7"/>
        <n v="-14.95"/>
        <n v="-9.75"/>
        <n v="-14.97"/>
        <n v="-14.54"/>
        <n v="-15.03"/>
        <n v="-317.66"/>
        <n v="-19.32"/>
        <n v="-9.5"/>
        <n v="-103.08"/>
        <n v="-75.2"/>
        <n v="-153.0"/>
        <n v="-177.0"/>
        <n v="-393.0"/>
        <n v="-196.0"/>
        <n v="-175.0"/>
        <n v="-34.14"/>
        <n v="-21.95"/>
        <n v="-1161.92"/>
        <n v="-28.71"/>
        <n v="-32.86"/>
        <n v="-11.48"/>
        <n v="-19.68"/>
        <n v="-66.23"/>
        <n v="-63.396"/>
        <n v="-71.54"/>
        <n v="-66.216"/>
        <n v="-471.53"/>
        <n v="-29.99"/>
        <n v="-1000.0"/>
        <n v="-656.12"/>
        <n v="-59.5"/>
        <n v="-22.44"/>
        <n v="-9.99"/>
        <n v="-96.9"/>
        <n v="-43.0"/>
        <n v="-38.68"/>
        <n v="-27.0"/>
        <n v="-66.42"/>
        <n v="-115.0"/>
        <n v="-1902.59"/>
        <n v="-736.0"/>
        <n v="-826.93"/>
        <n v="-2475.36"/>
        <n v="-1027.36"/>
        <n v="0.5"/>
        <n v="-70.0"/>
        <n v="-400.0"/>
        <n v="-500.0"/>
        <n v="-5749.382000000014"/>
      </sharedItems>
    </cacheField>
    <cacheField name="  Apr 2026" numFmtId="164">
      <sharedItems containsString="0" containsBlank="1" containsNumber="1">
        <n v="-5749.382000000014"/>
        <m/>
        <n v="-17.95"/>
        <n v="-22.79"/>
        <n v="-50.0"/>
        <n v="-3000.0"/>
        <n v="0.0"/>
        <n v="675.0"/>
        <n v="700.0"/>
        <n v="650.0"/>
        <n v="725.0"/>
        <n v="750.0"/>
        <n v="68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5000.0"/>
        <n v="-66.23"/>
        <n v="-63.396"/>
        <n v="-71.54"/>
        <n v="-66.216"/>
        <n v="-475.0"/>
        <n v="-29.99"/>
        <n v="-199.0"/>
        <n v="-1500.0"/>
        <n v="-656.12"/>
        <n v="-59.5"/>
        <n v="-22.44"/>
        <n v="-9.99"/>
        <n v="-96.9"/>
        <n v="-43.0"/>
        <n v="-38.68"/>
        <n v="-27.0"/>
        <n v="-66.42"/>
        <n v="-115.0"/>
        <n v="-1902.59"/>
        <n v="-704.0"/>
        <n v="-826.93"/>
        <n v="-2475.36"/>
        <n v="-1027.36"/>
        <n v="-500.0"/>
        <n v="0.5"/>
        <n v="-70.0"/>
        <n v="5125.619499999987"/>
      </sharedItems>
    </cacheField>
    <cacheField name="  May 2026" numFmtId="164">
      <sharedItems containsString="0" containsBlank="1" containsNumber="1">
        <n v="5125.619499999987"/>
        <m/>
        <n v="-17.95"/>
        <n v="-22.79"/>
        <n v="-50.0"/>
        <n v="-3000.0"/>
        <n v="0.0"/>
        <n v="675.0"/>
        <n v="700.0"/>
        <n v="650.0"/>
        <n v="725.0"/>
        <n v="75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66.23"/>
        <n v="-63.396"/>
        <n v="-71.54"/>
        <n v="-66.216"/>
        <n v="-20.0"/>
        <n v="-42.0"/>
        <n v="-68.0"/>
        <n v="-34.0"/>
        <n v="-30.0"/>
        <n v="-475.0"/>
        <n v="-29.99"/>
        <n v="-360.0"/>
        <n v="-1500.0"/>
        <n v="-656.12"/>
        <n v="-59.5"/>
        <n v="-22.44"/>
        <n v="-9.99"/>
        <n v="-96.9"/>
        <n v="-43.0"/>
        <n v="-38.68"/>
        <n v="-27.0"/>
        <n v="-66.42"/>
        <n v="-115.0"/>
        <n v="-1902.59"/>
        <n v="-736.0"/>
        <n v="-826.93"/>
        <n v="-2475.36"/>
        <n v="-1027.36"/>
        <n v="-500.0"/>
        <n v="0.5"/>
        <n v="-80.0"/>
        <n v="10566.620999999977"/>
      </sharedItems>
    </cacheField>
    <cacheField name="  Jun 2026" numFmtId="164">
      <sharedItems containsString="0" containsBlank="1" containsNumber="1">
        <n v="10566.620999999977"/>
        <m/>
        <n v="-35.9"/>
        <n v="-45.58"/>
        <n v="-100.0"/>
        <n v="-3000.0"/>
        <n v="0.0"/>
        <n v="675.0"/>
        <n v="700.0"/>
        <n v="650.0"/>
        <n v="725.0"/>
        <n v="750.0"/>
        <n v="875.0"/>
        <n v="1170.0"/>
        <n v="695.0"/>
        <n v="655.0"/>
        <n v="-1045.02"/>
        <n v="-114.61"/>
        <n v="-50.23"/>
        <n v="-78.64"/>
        <n v="-50.0"/>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95.0"/>
        <n v="-66.23"/>
        <n v="-63.396"/>
        <n v="-71.54"/>
        <n v="-66.216"/>
        <n v="-29.99"/>
        <n v="-1500.0"/>
        <n v="-656.12"/>
        <n v="-59.5"/>
        <n v="-22.44"/>
        <n v="-9.99"/>
        <n v="-96.9"/>
        <n v="-43.0"/>
        <n v="-38.68"/>
        <n v="-47.0"/>
        <n v="-27.0"/>
        <n v="-66.42"/>
        <n v="-115.0"/>
        <n v="-1902.59"/>
        <n v="-704.0"/>
        <n v="-826.93"/>
        <n v="-2475.36"/>
        <n v="-1027.36"/>
        <n v="-500.0"/>
        <n v="0.5"/>
        <n v="-160.0"/>
        <n v="16787.882499999934"/>
      </sharedItems>
    </cacheField>
    <cacheField name="  Jul 2026" numFmtId="164">
      <sharedItems containsString="0" containsBlank="1" containsNumber="1">
        <n v="16787.882499999934"/>
        <m/>
        <n v="-17.95"/>
        <n v="-22.79"/>
        <n v="-50.0"/>
        <n v="-3000.0"/>
        <n v="0.0"/>
        <n v="675.0"/>
        <n v="700.0"/>
        <n v="650.0"/>
        <n v="725.0"/>
        <n v="75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66.23"/>
        <n v="-63.396"/>
        <n v="-71.54"/>
        <n v="-66.216"/>
        <n v="-29.99"/>
        <n v="-1500.0"/>
        <n v="-656.12"/>
        <n v="-250.0"/>
        <n v="-59.5"/>
        <n v="-22.44"/>
        <n v="-9.99"/>
        <n v="-96.9"/>
        <n v="-43.0"/>
        <n v="-38.68"/>
        <n v="-27.0"/>
        <n v="-66.42"/>
        <n v="-115.0"/>
        <n v="-1902.59"/>
        <n v="-736.0"/>
        <n v="-826.93"/>
        <n v="-2475.36"/>
        <n v="-1027.36"/>
        <n v="-500.0"/>
        <n v="0.5"/>
        <n v="-150.0"/>
        <n v="-80.0"/>
        <n v="22877.883999999925"/>
      </sharedItems>
    </cacheField>
    <cacheField name="  Aug 2026" numFmtId="164">
      <sharedItems containsString="0" containsBlank="1" containsNumber="1">
        <n v="22877.883999999925"/>
        <m/>
        <n v="-17.95"/>
        <n v="-22.79"/>
        <n v="-50.0"/>
        <n v="-3000.0"/>
        <n v="0.0"/>
        <n v="675.0"/>
        <n v="700.0"/>
        <n v="650.0"/>
        <n v="725.0"/>
        <n v="75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66.23"/>
        <n v="-63.396"/>
        <n v="-71.54"/>
        <n v="-66.216"/>
        <n v="-29.99"/>
        <n v="-1500.0"/>
        <n v="-656.12"/>
        <n v="-59.5"/>
        <n v="-22.44"/>
        <n v="-9.99"/>
        <n v="-96.9"/>
        <n v="-43.0"/>
        <n v="-38.68"/>
        <n v="-27.0"/>
        <n v="-66.42"/>
        <n v="-115.0"/>
        <n v="-1902.59"/>
        <n v="-736.0"/>
        <n v="-826.93"/>
        <n v="-2475.36"/>
        <n v="-1027.36"/>
        <n v="-500.0"/>
        <n v="0.5"/>
        <n v="-80.0"/>
        <n v="29447.88549999993"/>
      </sharedItems>
    </cacheField>
    <cacheField name="  Sep 2026" numFmtId="164">
      <sharedItems containsString="0" containsBlank="1" containsNumber="1">
        <n v="29447.88549999993"/>
        <m/>
        <n v="-35.9"/>
        <n v="-45.58"/>
        <n v="-100.0"/>
        <n v="-3000.0"/>
        <n v="0.0"/>
        <n v="675.0"/>
        <n v="700.0"/>
        <n v="650.0"/>
        <n v="725.0"/>
        <n v="75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66.23"/>
        <n v="-63.396"/>
        <n v="-71.54"/>
        <n v="-66.216"/>
        <n v="-20.0"/>
        <n v="-42.0"/>
        <n v="-68.0"/>
        <n v="-34.0"/>
        <n v="-30.0"/>
        <n v="-29.99"/>
        <n v="-90.0"/>
        <n v="68.0"/>
        <n v="-1500.0"/>
        <n v="-656.12"/>
        <n v="-59.5"/>
        <n v="-22.44"/>
        <n v="-9.99"/>
        <n v="-96.9"/>
        <n v="-43.0"/>
        <n v="-38.68"/>
        <n v="-27.0"/>
        <n v="-66.42"/>
        <n v="-115.0"/>
        <n v="-1902.59"/>
        <n v="-704.0"/>
        <n v="-826.93"/>
        <n v="-2475.36"/>
        <n v="-1027.36"/>
        <n v="-500.0"/>
        <n v="0.5"/>
        <n v="-160.0"/>
        <n v="-80.0"/>
        <n v="35015.14699999993"/>
      </sharedItems>
    </cacheField>
    <cacheField name="  Oct 2026" numFmtId="164">
      <sharedItems containsString="0" containsBlank="1" containsNumber="1">
        <n v="35015.14699999993"/>
        <m/>
        <n v="-17.95"/>
        <n v="-22.79"/>
        <n v="-50.0"/>
        <n v="-3000.0"/>
        <n v="0.0"/>
        <n v="675.0"/>
        <n v="700.0"/>
        <n v="650.0"/>
        <n v="725.0"/>
        <n v="75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66.23"/>
        <n v="-63.396"/>
        <n v="-71.54"/>
        <n v="-66.216"/>
        <n v="-29.99"/>
        <n v="-1500.0"/>
        <n v="-656.12"/>
        <n v="-59.5"/>
        <n v="-22.44"/>
        <n v="-9.99"/>
        <n v="-96.9"/>
        <n v="-43.0"/>
        <n v="-38.68"/>
        <n v="-27.0"/>
        <n v="-66.42"/>
        <n v="-115.0"/>
        <n v="-295.0"/>
        <n v="-1902.59"/>
        <n v="-736.0"/>
        <n v="-826.93"/>
        <n v="-2475.36"/>
        <n v="-1027.36"/>
        <n v="300.0"/>
        <n v="-500.0"/>
        <n v="0.5"/>
        <n v="41670.14849999994"/>
      </sharedItems>
    </cacheField>
    <cacheField name="  Nov 2026" numFmtId="164">
      <sharedItems containsString="0" containsBlank="1" containsNumber="1">
        <n v="41670.14849999994"/>
        <m/>
        <n v="-17.95"/>
        <n v="-22.79"/>
        <n v="-50.0"/>
        <n v="-3000.0"/>
        <n v="0.0"/>
        <n v="675.0"/>
        <n v="700.0"/>
        <n v="650.0"/>
        <n v="725.0"/>
        <n v="750.0"/>
        <n v="875.0"/>
        <n v="1170.0"/>
        <n v="695.0"/>
        <n v="655.0"/>
        <n v="-1045.02"/>
        <n v="-114.61"/>
        <n v="-50.23"/>
        <n v="-78.64"/>
        <n v="-31.19"/>
        <n v="-200.0"/>
        <n v="-324.84"/>
        <n v="-91.51"/>
        <n v="-85.5"/>
        <n v="-100.36"/>
        <n v="-26.8"/>
        <n v="-101.98"/>
        <n v="-111.01"/>
        <n v="-115.61"/>
        <n v="-48.19"/>
        <n v="-46.91"/>
        <n v="-20.4"/>
        <n v="-29.49"/>
        <n v="-29.66"/>
        <n v="-10.12"/>
        <n v="-76.24"/>
        <n v="-123.85"/>
        <n v="-82.68"/>
        <n v="-5.99"/>
        <n v="-123.58500000000001"/>
        <n v="-79.97850000000001"/>
        <n v="-89.98500000000001"/>
        <n v="-14.95"/>
        <n v="-15.0"/>
        <n v="-14.12"/>
        <n v="-14.54"/>
        <n v="-317.66"/>
        <n v="-19.32"/>
        <n v="-9.5"/>
        <n v="-103.08"/>
        <n v="-75.2"/>
        <n v="-153.0"/>
        <n v="-177.0"/>
        <n v="-393.0"/>
        <n v="-175.0"/>
        <n v="-196.0"/>
        <n v="-34.14"/>
        <n v="-21.95"/>
        <n v="-1161.92"/>
        <n v="-28.71"/>
        <n v="-32.86"/>
        <n v="-11.48"/>
        <n v="-19.68"/>
        <n v="-66.23"/>
        <n v="-63.396"/>
        <n v="-71.54"/>
        <n v="-66.216"/>
        <n v="-29.99"/>
        <n v="-1500.0"/>
        <n v="-656.12"/>
        <n v="-59.5"/>
        <n v="-22.44"/>
        <n v="-9.99"/>
        <n v="-96.9"/>
        <n v="-43.0"/>
        <n v="-38.68"/>
        <n v="-27.0"/>
        <n v="-66.42"/>
        <n v="-115.0"/>
        <n v="-1902.59"/>
        <n v="-704.0"/>
        <n v="-826.93"/>
        <n v="-2475.36"/>
        <n v="-1027.36"/>
        <n v="-198.0"/>
        <n v="0.5"/>
        <n v="48686.14999999993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NUAL CF" cacheId="0" dataCaption="" compact="0" compactData="0">
  <location ref="A1:B35" firstHeaderRow="0" firstDataRow="1" firstDataCol="0"/>
  <pivotFields>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RECURRING" compact="0" outline="0" multipleItemSelectionAllowed="1" showAll="0">
      <items>
        <item x="0"/>
        <item x="1"/>
        <item x="2"/>
        <item x="3"/>
        <item x="4"/>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BANK" compact="0" outline="0" multipleItemSelectionAllowed="1" showAll="0">
      <items>
        <item x="0"/>
        <item x="1"/>
        <item x="2"/>
        <item t="default"/>
      </items>
    </pivotField>
    <pivotField name="ACCT" axis="axisRow" compact="0" outline="0" multipleItemSelectionAllowed="1" showAll="0" sortType="ascending">
      <items>
        <item x="1"/>
        <item x="35"/>
        <item x="37"/>
        <item x="12"/>
        <item x="13"/>
        <item x="16"/>
        <item x="23"/>
        <item x="25"/>
        <item x="17"/>
        <item h="1" x="5"/>
        <item x="18"/>
        <item x="29"/>
        <item h="1" x="7"/>
        <item x="38"/>
        <item x="19"/>
        <item h="1" x="36"/>
        <item x="20"/>
        <item h="1" x="39"/>
        <item x="21"/>
        <item x="4"/>
        <item x="2"/>
        <item x="6"/>
        <item x="26"/>
        <item x="32"/>
        <item h="1" x="33"/>
        <item x="34"/>
        <item x="28"/>
        <item x="22"/>
        <item x="11"/>
        <item x="14"/>
        <item x="24"/>
        <item x="15"/>
        <item x="27"/>
        <item x="31"/>
        <item x="10"/>
        <item x="3"/>
        <item x="8"/>
        <item h="1" x="9"/>
        <item x="30"/>
        <item h="1" x="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t="default"/>
      </items>
    </pivotField>
    <pivotField name="REC TER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R" compact="0" outline="0" multipleItemSelectionAllowed="1" showAll="0">
      <items>
        <item x="0"/>
        <item x="1"/>
        <item x="2"/>
        <item t="default"/>
      </items>
    </pivotField>
    <pivotField name="  Oct 2025"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  Nov 2025"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  Dec 2025"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  Jan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Feb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  Mar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  Apr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  May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  Jun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  Jul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  Aug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  Sep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  Oct 2026"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  Nov 2026"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s>
  <rowFields>
    <field x="4"/>
  </rowFields>
  <dataFields>
    <dataField name="SUM of   Nov 2026" fld="21" baseField="0"/>
  </dataFields>
</pivotTableDefinition>
</file>

<file path=xl/tables/table1.xml><?xml version="1.0" encoding="utf-8"?>
<table xmlns="http://schemas.openxmlformats.org/spreadsheetml/2006/main" headerRowCount="0" ref="A1:J89"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tail7-REN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63"/>
    <col customWidth="1" min="2" max="2" width="18.75"/>
  </cols>
  <sheetData>
    <row r="1">
      <c r="C1" s="2"/>
      <c r="D1" s="2"/>
      <c r="E1" s="2"/>
      <c r="F1" s="2"/>
      <c r="G1" s="2"/>
      <c r="H1" s="2"/>
      <c r="I1" s="2"/>
      <c r="J1" s="2"/>
      <c r="K1" s="2"/>
      <c r="L1" s="2"/>
      <c r="M1" s="2"/>
      <c r="N1" s="2"/>
      <c r="O1" s="2"/>
      <c r="P1" s="2"/>
      <c r="Q1" s="2"/>
      <c r="R1" s="2"/>
      <c r="S1" s="2"/>
      <c r="T1" s="2"/>
      <c r="U1" s="2"/>
      <c r="V1" s="2"/>
      <c r="W1" s="2"/>
      <c r="X1" s="2"/>
      <c r="Y1" s="2"/>
      <c r="Z1" s="2"/>
    </row>
    <row r="2">
      <c r="C2" s="2"/>
      <c r="D2" s="2"/>
      <c r="E2" s="2"/>
      <c r="F2" s="2"/>
      <c r="G2" s="2"/>
      <c r="H2" s="2"/>
      <c r="I2" s="2"/>
      <c r="J2" s="2"/>
      <c r="K2" s="2"/>
      <c r="L2" s="2"/>
      <c r="M2" s="2"/>
      <c r="N2" s="2"/>
      <c r="O2" s="2"/>
      <c r="P2" s="2"/>
      <c r="Q2" s="2"/>
      <c r="R2" s="2"/>
      <c r="S2" s="2"/>
      <c r="T2" s="2"/>
      <c r="U2" s="2"/>
      <c r="V2" s="2"/>
      <c r="W2" s="2"/>
      <c r="X2" s="2"/>
      <c r="Y2" s="2"/>
      <c r="Z2" s="2"/>
    </row>
    <row r="3">
      <c r="C3" s="2"/>
      <c r="D3" s="2"/>
      <c r="E3" s="2"/>
      <c r="F3" s="2"/>
      <c r="G3" s="2"/>
      <c r="H3" s="2"/>
      <c r="I3" s="2"/>
      <c r="J3" s="2"/>
      <c r="K3" s="2"/>
      <c r="L3" s="2"/>
      <c r="M3" s="2"/>
      <c r="N3" s="2"/>
      <c r="O3" s="2"/>
      <c r="P3" s="2"/>
      <c r="Q3" s="2"/>
      <c r="R3" s="2"/>
      <c r="S3" s="2"/>
      <c r="T3" s="2"/>
      <c r="U3" s="2"/>
      <c r="V3" s="2"/>
      <c r="W3" s="2"/>
      <c r="X3" s="2"/>
      <c r="Y3" s="2"/>
      <c r="Z3" s="2"/>
    </row>
    <row r="4">
      <c r="C4" s="2"/>
      <c r="D4" s="2"/>
      <c r="E4" s="2"/>
      <c r="F4" s="2"/>
      <c r="G4" s="2"/>
      <c r="H4" s="2"/>
      <c r="I4" s="2"/>
      <c r="J4" s="2"/>
      <c r="K4" s="2"/>
      <c r="L4" s="2"/>
      <c r="M4" s="2"/>
      <c r="N4" s="2"/>
      <c r="O4" s="2"/>
      <c r="P4" s="2"/>
      <c r="Q4" s="2"/>
      <c r="R4" s="2"/>
      <c r="S4" s="2"/>
      <c r="T4" s="2"/>
      <c r="U4" s="2"/>
      <c r="V4" s="2"/>
      <c r="W4" s="2"/>
      <c r="X4" s="2"/>
      <c r="Y4" s="2"/>
      <c r="Z4" s="2"/>
    </row>
    <row r="5">
      <c r="C5" s="2"/>
      <c r="D5" s="2"/>
      <c r="E5" s="2"/>
      <c r="F5" s="2"/>
      <c r="G5" s="2"/>
      <c r="H5" s="2"/>
      <c r="I5" s="2"/>
      <c r="J5" s="2"/>
      <c r="K5" s="2"/>
      <c r="L5" s="2"/>
      <c r="M5" s="2"/>
      <c r="N5" s="2"/>
      <c r="O5" s="2"/>
      <c r="P5" s="2"/>
      <c r="Q5" s="2"/>
      <c r="R5" s="2"/>
      <c r="S5" s="2"/>
      <c r="T5" s="2"/>
      <c r="U5" s="2"/>
      <c r="V5" s="2"/>
      <c r="W5" s="2"/>
      <c r="X5" s="2"/>
      <c r="Y5" s="2"/>
      <c r="Z5" s="2"/>
    </row>
    <row r="6">
      <c r="C6" s="2"/>
      <c r="D6" s="2"/>
      <c r="E6" s="2"/>
      <c r="F6" s="2"/>
      <c r="G6" s="2"/>
      <c r="H6" s="2"/>
      <c r="I6" s="2"/>
      <c r="J6" s="2"/>
      <c r="K6" s="2"/>
      <c r="L6" s="2"/>
      <c r="M6" s="2"/>
      <c r="N6" s="2"/>
      <c r="O6" s="2"/>
      <c r="P6" s="2"/>
      <c r="Q6" s="2"/>
      <c r="R6" s="2"/>
      <c r="S6" s="2"/>
      <c r="T6" s="2"/>
      <c r="U6" s="2"/>
      <c r="V6" s="2"/>
      <c r="W6" s="2"/>
      <c r="X6" s="2"/>
      <c r="Y6" s="2"/>
      <c r="Z6" s="2"/>
    </row>
    <row r="7">
      <c r="C7" s="2"/>
      <c r="D7" s="2"/>
      <c r="E7" s="2"/>
      <c r="F7" s="2"/>
      <c r="G7" s="2"/>
      <c r="H7" s="2"/>
      <c r="I7" s="2"/>
      <c r="J7" s="2"/>
      <c r="K7" s="2"/>
      <c r="L7" s="2"/>
      <c r="M7" s="2"/>
      <c r="N7" s="2"/>
      <c r="O7" s="2"/>
      <c r="P7" s="2"/>
      <c r="Q7" s="2"/>
      <c r="R7" s="2"/>
      <c r="S7" s="2"/>
      <c r="T7" s="2"/>
      <c r="U7" s="2"/>
      <c r="V7" s="2"/>
      <c r="W7" s="2"/>
      <c r="X7" s="2"/>
      <c r="Y7" s="2"/>
      <c r="Z7" s="2"/>
    </row>
    <row r="8">
      <c r="C8" s="2"/>
      <c r="D8" s="2"/>
      <c r="E8" s="2"/>
      <c r="F8" s="2"/>
      <c r="G8" s="2"/>
      <c r="H8" s="2"/>
      <c r="I8" s="2"/>
      <c r="J8" s="2"/>
      <c r="K8" s="2"/>
      <c r="L8" s="2"/>
      <c r="M8" s="2"/>
      <c r="N8" s="2"/>
      <c r="O8" s="2"/>
      <c r="P8" s="2"/>
      <c r="Q8" s="2"/>
      <c r="R8" s="2"/>
      <c r="S8" s="2"/>
      <c r="T8" s="2"/>
      <c r="U8" s="2"/>
      <c r="V8" s="2"/>
      <c r="W8" s="2"/>
      <c r="X8" s="2"/>
      <c r="Y8" s="2"/>
      <c r="Z8" s="2"/>
    </row>
    <row r="9">
      <c r="C9" s="2"/>
      <c r="D9" s="2"/>
      <c r="E9" s="2"/>
      <c r="F9" s="2"/>
      <c r="G9" s="2"/>
      <c r="H9" s="2"/>
      <c r="I9" s="2"/>
      <c r="J9" s="2"/>
      <c r="K9" s="2"/>
      <c r="L9" s="2"/>
      <c r="M9" s="2"/>
      <c r="N9" s="2"/>
      <c r="O9" s="2"/>
      <c r="P9" s="2"/>
      <c r="Q9" s="2"/>
      <c r="R9" s="2"/>
      <c r="S9" s="2"/>
      <c r="T9" s="2"/>
      <c r="U9" s="2"/>
      <c r="V9" s="2"/>
      <c r="W9" s="2"/>
      <c r="X9" s="2"/>
      <c r="Y9" s="2"/>
      <c r="Z9" s="2"/>
    </row>
    <row r="10">
      <c r="C10" s="2"/>
      <c r="D10" s="2"/>
      <c r="E10" s="2"/>
      <c r="F10" s="2"/>
      <c r="G10" s="2"/>
      <c r="H10" s="2"/>
      <c r="I10" s="2"/>
      <c r="J10" s="2"/>
      <c r="K10" s="2"/>
      <c r="L10" s="2"/>
      <c r="M10" s="2"/>
      <c r="N10" s="2"/>
      <c r="O10" s="2"/>
      <c r="P10" s="2"/>
      <c r="Q10" s="2"/>
      <c r="R10" s="2"/>
      <c r="S10" s="2"/>
      <c r="T10" s="2"/>
      <c r="U10" s="2"/>
      <c r="V10" s="2"/>
      <c r="W10" s="2"/>
      <c r="X10" s="2"/>
      <c r="Y10" s="2"/>
      <c r="Z10" s="2"/>
    </row>
    <row r="11">
      <c r="C11" s="2"/>
      <c r="D11" s="2"/>
      <c r="E11" s="2"/>
      <c r="F11" s="2"/>
      <c r="G11" s="2"/>
      <c r="H11" s="2"/>
      <c r="I11" s="2"/>
      <c r="J11" s="2"/>
      <c r="K11" s="2"/>
      <c r="L11" s="2"/>
      <c r="M11" s="2"/>
      <c r="N11" s="2"/>
      <c r="O11" s="2"/>
      <c r="P11" s="2"/>
      <c r="Q11" s="2"/>
      <c r="R11" s="2"/>
      <c r="S11" s="2"/>
      <c r="T11" s="2"/>
      <c r="U11" s="2"/>
      <c r="V11" s="2"/>
      <c r="W11" s="2"/>
      <c r="X11" s="2"/>
      <c r="Y11" s="2"/>
      <c r="Z11" s="2"/>
    </row>
    <row r="12">
      <c r="C12" s="2"/>
      <c r="D12" s="2"/>
      <c r="E12" s="2"/>
      <c r="F12" s="2"/>
      <c r="G12" s="2"/>
      <c r="H12" s="2"/>
      <c r="I12" s="2"/>
      <c r="J12" s="2"/>
      <c r="K12" s="2"/>
      <c r="L12" s="2"/>
      <c r="M12" s="2"/>
      <c r="N12" s="2"/>
      <c r="O12" s="2"/>
      <c r="P12" s="2"/>
      <c r="Q12" s="2"/>
      <c r="R12" s="2"/>
      <c r="S12" s="2"/>
      <c r="T12" s="2"/>
      <c r="U12" s="2"/>
      <c r="V12" s="2"/>
      <c r="W12" s="2"/>
      <c r="X12" s="2"/>
      <c r="Y12" s="2"/>
      <c r="Z12" s="2"/>
    </row>
    <row r="13">
      <c r="C13" s="2"/>
      <c r="D13" s="2"/>
      <c r="E13" s="2"/>
      <c r="F13" s="2"/>
      <c r="G13" s="2"/>
      <c r="H13" s="2"/>
      <c r="I13" s="2"/>
      <c r="J13" s="2"/>
      <c r="K13" s="2"/>
      <c r="L13" s="2"/>
      <c r="M13" s="2"/>
      <c r="N13" s="2"/>
      <c r="O13" s="2"/>
      <c r="P13" s="2"/>
      <c r="Q13" s="2"/>
      <c r="R13" s="2"/>
      <c r="S13" s="2"/>
      <c r="T13" s="2"/>
      <c r="U13" s="2"/>
      <c r="V13" s="2"/>
      <c r="W13" s="2"/>
      <c r="X13" s="2"/>
      <c r="Y13" s="2"/>
      <c r="Z13" s="2"/>
    </row>
    <row r="14">
      <c r="C14" s="2"/>
      <c r="D14" s="2"/>
      <c r="E14" s="2"/>
      <c r="F14" s="2"/>
      <c r="G14" s="2"/>
      <c r="H14" s="2"/>
      <c r="I14" s="2"/>
      <c r="J14" s="2"/>
      <c r="K14" s="2"/>
      <c r="L14" s="2"/>
      <c r="M14" s="2"/>
      <c r="N14" s="2"/>
      <c r="O14" s="2"/>
      <c r="P14" s="2"/>
      <c r="Q14" s="2"/>
      <c r="R14" s="2"/>
      <c r="S14" s="2"/>
      <c r="T14" s="2"/>
      <c r="U14" s="2"/>
      <c r="V14" s="2"/>
      <c r="W14" s="2"/>
      <c r="X14" s="2"/>
      <c r="Y14" s="2"/>
      <c r="Z14" s="2"/>
    </row>
    <row r="15">
      <c r="C15" s="2"/>
      <c r="D15" s="2"/>
      <c r="E15" s="2"/>
      <c r="F15" s="2"/>
      <c r="G15" s="2"/>
      <c r="H15" s="2"/>
      <c r="I15" s="2"/>
      <c r="J15" s="2"/>
      <c r="K15" s="2"/>
      <c r="L15" s="2"/>
      <c r="M15" s="2"/>
      <c r="N15" s="2"/>
      <c r="O15" s="2"/>
      <c r="P15" s="2"/>
      <c r="Q15" s="2"/>
      <c r="R15" s="2"/>
      <c r="S15" s="2"/>
      <c r="T15" s="2"/>
      <c r="U15" s="2"/>
      <c r="V15" s="2"/>
      <c r="W15" s="2"/>
      <c r="X15" s="2"/>
      <c r="Y15" s="2"/>
      <c r="Z15" s="2"/>
    </row>
    <row r="16">
      <c r="C16" s="2"/>
      <c r="D16" s="2"/>
      <c r="E16" s="2"/>
      <c r="F16" s="2"/>
      <c r="G16" s="2"/>
      <c r="H16" s="2"/>
      <c r="I16" s="2"/>
      <c r="J16" s="2"/>
      <c r="K16" s="2"/>
      <c r="L16" s="2"/>
      <c r="M16" s="2"/>
      <c r="N16" s="2"/>
      <c r="O16" s="2"/>
      <c r="P16" s="2"/>
      <c r="Q16" s="2"/>
      <c r="R16" s="2"/>
      <c r="S16" s="2"/>
      <c r="T16" s="2"/>
      <c r="U16" s="2"/>
      <c r="V16" s="2"/>
      <c r="W16" s="2"/>
      <c r="X16" s="2"/>
      <c r="Y16" s="2"/>
      <c r="Z16" s="2"/>
    </row>
    <row r="17">
      <c r="C17" s="2"/>
      <c r="D17" s="2"/>
      <c r="E17" s="2"/>
      <c r="F17" s="2"/>
      <c r="G17" s="2"/>
      <c r="H17" s="2"/>
      <c r="I17" s="2"/>
      <c r="J17" s="2"/>
      <c r="K17" s="2"/>
      <c r="L17" s="2"/>
      <c r="M17" s="2"/>
      <c r="N17" s="2"/>
      <c r="O17" s="2"/>
      <c r="P17" s="2"/>
      <c r="Q17" s="2"/>
      <c r="R17" s="2"/>
      <c r="S17" s="2"/>
      <c r="T17" s="2"/>
      <c r="U17" s="2"/>
      <c r="V17" s="2"/>
      <c r="W17" s="2"/>
      <c r="X17" s="2"/>
      <c r="Y17" s="2"/>
      <c r="Z17" s="2"/>
    </row>
    <row r="18">
      <c r="C18" s="2"/>
      <c r="D18" s="2"/>
      <c r="E18" s="2"/>
      <c r="F18" s="2"/>
      <c r="G18" s="2"/>
      <c r="H18" s="2"/>
      <c r="I18" s="2"/>
      <c r="J18" s="2"/>
      <c r="K18" s="2"/>
      <c r="L18" s="2"/>
      <c r="M18" s="2"/>
      <c r="N18" s="2"/>
      <c r="O18" s="2"/>
      <c r="P18" s="2"/>
      <c r="Q18" s="2"/>
      <c r="R18" s="2"/>
      <c r="S18" s="2"/>
      <c r="T18" s="2"/>
      <c r="U18" s="2"/>
      <c r="V18" s="2"/>
      <c r="W18" s="2"/>
      <c r="X18" s="2"/>
      <c r="Y18" s="2"/>
      <c r="Z18" s="2"/>
    </row>
    <row r="19">
      <c r="C19" s="2"/>
      <c r="D19" s="2"/>
      <c r="E19" s="2"/>
      <c r="F19" s="2"/>
      <c r="G19" s="2"/>
      <c r="H19" s="2"/>
      <c r="I19" s="2"/>
      <c r="J19" s="2"/>
      <c r="K19" s="2"/>
      <c r="L19" s="2"/>
      <c r="M19" s="2"/>
      <c r="N19" s="2"/>
      <c r="O19" s="2"/>
      <c r="P19" s="2"/>
      <c r="Q19" s="2"/>
      <c r="R19" s="2"/>
      <c r="S19" s="2"/>
      <c r="T19" s="2"/>
      <c r="U19" s="2"/>
      <c r="V19" s="2"/>
      <c r="W19" s="2"/>
      <c r="X19" s="2"/>
      <c r="Y19" s="2"/>
      <c r="Z19" s="2"/>
    </row>
    <row r="20">
      <c r="C20" s="2"/>
      <c r="D20" s="2"/>
      <c r="E20" s="2"/>
      <c r="F20" s="2"/>
      <c r="G20" s="2"/>
      <c r="H20" s="2"/>
      <c r="I20" s="2"/>
      <c r="J20" s="2"/>
      <c r="K20" s="2"/>
      <c r="L20" s="2"/>
      <c r="M20" s="2"/>
      <c r="N20" s="2"/>
      <c r="O20" s="2"/>
      <c r="P20" s="2"/>
      <c r="Q20" s="2"/>
      <c r="R20" s="2"/>
      <c r="S20" s="2"/>
      <c r="T20" s="2"/>
      <c r="U20" s="2"/>
      <c r="V20" s="2"/>
      <c r="W20" s="2"/>
      <c r="X20" s="2"/>
      <c r="Y20" s="2"/>
      <c r="Z20" s="2"/>
    </row>
    <row r="21">
      <c r="C21" s="2"/>
      <c r="D21" s="2"/>
      <c r="E21" s="2"/>
      <c r="F21" s="2"/>
      <c r="G21" s="2"/>
      <c r="H21" s="2"/>
      <c r="I21" s="2"/>
      <c r="J21" s="2"/>
      <c r="K21" s="2"/>
      <c r="L21" s="2"/>
      <c r="M21" s="2"/>
      <c r="N21" s="2"/>
      <c r="O21" s="2"/>
      <c r="P21" s="2"/>
      <c r="Q21" s="2"/>
      <c r="R21" s="2"/>
      <c r="S21" s="2"/>
      <c r="T21" s="2"/>
      <c r="U21" s="2"/>
      <c r="V21" s="2"/>
      <c r="W21" s="2"/>
      <c r="X21" s="2"/>
      <c r="Y21" s="2"/>
      <c r="Z21" s="2"/>
    </row>
    <row r="22">
      <c r="C22" s="2"/>
      <c r="D22" s="2"/>
      <c r="E22" s="2"/>
      <c r="F22" s="2"/>
      <c r="G22" s="2"/>
      <c r="H22" s="2"/>
      <c r="I22" s="2"/>
      <c r="J22" s="2"/>
      <c r="K22" s="2"/>
      <c r="L22" s="2"/>
      <c r="M22" s="2"/>
      <c r="N22" s="2"/>
      <c r="O22" s="2"/>
      <c r="P22" s="2"/>
      <c r="Q22" s="2"/>
      <c r="R22" s="2"/>
      <c r="S22" s="2"/>
      <c r="T22" s="2"/>
      <c r="U22" s="2"/>
      <c r="V22" s="2"/>
      <c r="W22" s="2"/>
      <c r="X22" s="2"/>
      <c r="Y22" s="2"/>
      <c r="Z22" s="2"/>
    </row>
    <row r="23">
      <c r="C23" s="2"/>
      <c r="D23" s="2"/>
      <c r="E23" s="2"/>
      <c r="F23" s="2"/>
      <c r="G23" s="2"/>
      <c r="H23" s="2"/>
      <c r="I23" s="2"/>
      <c r="J23" s="2"/>
      <c r="K23" s="2"/>
      <c r="L23" s="2"/>
      <c r="M23" s="2"/>
      <c r="N23" s="2"/>
      <c r="O23" s="2"/>
      <c r="P23" s="2"/>
      <c r="Q23" s="2"/>
      <c r="R23" s="2"/>
      <c r="S23" s="2"/>
      <c r="T23" s="2"/>
      <c r="U23" s="2"/>
      <c r="V23" s="2"/>
      <c r="W23" s="2"/>
      <c r="X23" s="2"/>
      <c r="Y23" s="2"/>
      <c r="Z23" s="2"/>
    </row>
    <row r="24">
      <c r="C24" s="2"/>
      <c r="D24" s="2"/>
      <c r="E24" s="2"/>
      <c r="F24" s="2"/>
      <c r="G24" s="2"/>
      <c r="H24" s="2"/>
      <c r="I24" s="2"/>
      <c r="J24" s="2"/>
      <c r="K24" s="2"/>
      <c r="L24" s="2"/>
      <c r="M24" s="2"/>
      <c r="N24" s="2"/>
      <c r="O24" s="2"/>
      <c r="P24" s="2"/>
      <c r="Q24" s="2"/>
      <c r="R24" s="2"/>
      <c r="S24" s="2"/>
      <c r="T24" s="2"/>
      <c r="U24" s="2"/>
      <c r="V24" s="2"/>
      <c r="W24" s="2"/>
      <c r="X24" s="2"/>
      <c r="Y24" s="2"/>
      <c r="Z24" s="2"/>
    </row>
    <row r="25">
      <c r="C25" s="2"/>
      <c r="D25" s="2"/>
      <c r="E25" s="2"/>
      <c r="F25" s="2"/>
      <c r="G25" s="2"/>
      <c r="H25" s="2"/>
      <c r="I25" s="2"/>
      <c r="J25" s="2"/>
      <c r="K25" s="2"/>
      <c r="L25" s="2"/>
      <c r="M25" s="2"/>
      <c r="N25" s="2"/>
      <c r="O25" s="2"/>
      <c r="P25" s="2"/>
      <c r="Q25" s="2"/>
      <c r="R25" s="2"/>
      <c r="S25" s="2"/>
      <c r="T25" s="2"/>
      <c r="U25" s="2"/>
      <c r="V25" s="2"/>
      <c r="W25" s="2"/>
      <c r="X25" s="2"/>
      <c r="Y25" s="2"/>
      <c r="Z25" s="2"/>
    </row>
    <row r="26">
      <c r="C26" s="2"/>
      <c r="D26" s="2"/>
      <c r="E26" s="2"/>
      <c r="F26" s="2"/>
      <c r="G26" s="2"/>
      <c r="H26" s="2"/>
      <c r="I26" s="2"/>
      <c r="J26" s="2"/>
      <c r="K26" s="2"/>
      <c r="L26" s="2"/>
      <c r="M26" s="2"/>
      <c r="N26" s="2"/>
      <c r="O26" s="2"/>
      <c r="P26" s="2"/>
      <c r="Q26" s="2"/>
      <c r="R26" s="2"/>
      <c r="S26" s="2"/>
      <c r="T26" s="2"/>
      <c r="U26" s="2"/>
      <c r="V26" s="2"/>
      <c r="W26" s="2"/>
      <c r="X26" s="2"/>
      <c r="Y26" s="2"/>
      <c r="Z26" s="2"/>
    </row>
    <row r="27">
      <c r="C27" s="2"/>
      <c r="D27" s="2"/>
      <c r="E27" s="2"/>
      <c r="F27" s="2"/>
      <c r="G27" s="2"/>
      <c r="H27" s="2"/>
      <c r="I27" s="2"/>
      <c r="J27" s="2"/>
      <c r="K27" s="2"/>
      <c r="L27" s="2"/>
      <c r="M27" s="2"/>
      <c r="N27" s="2"/>
      <c r="O27" s="2"/>
      <c r="P27" s="2"/>
      <c r="Q27" s="2"/>
      <c r="R27" s="2"/>
      <c r="S27" s="2"/>
      <c r="T27" s="2"/>
      <c r="U27" s="2"/>
      <c r="V27" s="2"/>
      <c r="W27" s="2"/>
      <c r="X27" s="2"/>
      <c r="Y27" s="2"/>
      <c r="Z27" s="2"/>
    </row>
    <row r="28">
      <c r="C28" s="2"/>
      <c r="D28" s="2"/>
      <c r="E28" s="2"/>
      <c r="F28" s="2"/>
      <c r="G28" s="2"/>
      <c r="H28" s="2"/>
      <c r="I28" s="2"/>
      <c r="J28" s="2"/>
      <c r="K28" s="2"/>
      <c r="L28" s="2"/>
      <c r="M28" s="2"/>
      <c r="N28" s="2"/>
      <c r="O28" s="2"/>
      <c r="P28" s="2"/>
      <c r="Q28" s="2"/>
      <c r="R28" s="2"/>
      <c r="S28" s="2"/>
      <c r="T28" s="2"/>
      <c r="U28" s="2"/>
      <c r="V28" s="2"/>
      <c r="W28" s="2"/>
      <c r="X28" s="2"/>
      <c r="Y28" s="2"/>
      <c r="Z28" s="2"/>
    </row>
    <row r="29">
      <c r="C29" s="2"/>
      <c r="D29" s="2"/>
      <c r="E29" s="2"/>
      <c r="F29" s="2"/>
      <c r="G29" s="2"/>
      <c r="H29" s="2"/>
      <c r="I29" s="2"/>
      <c r="J29" s="2"/>
      <c r="K29" s="2"/>
      <c r="L29" s="2"/>
      <c r="M29" s="2"/>
      <c r="N29" s="2"/>
      <c r="O29" s="2"/>
      <c r="P29" s="2"/>
      <c r="Q29" s="2"/>
      <c r="R29" s="2"/>
      <c r="S29" s="2"/>
      <c r="T29" s="2"/>
      <c r="U29" s="2"/>
      <c r="V29" s="2"/>
      <c r="W29" s="2"/>
      <c r="X29" s="2"/>
      <c r="Y29" s="2"/>
      <c r="Z29" s="2"/>
    </row>
    <row r="30">
      <c r="C30" s="2"/>
      <c r="D30" s="2"/>
      <c r="E30" s="2"/>
      <c r="F30" s="2"/>
      <c r="G30" s="2"/>
      <c r="H30" s="2"/>
      <c r="I30" s="2"/>
      <c r="J30" s="2"/>
      <c r="K30" s="2"/>
      <c r="L30" s="2"/>
      <c r="M30" s="2"/>
      <c r="N30" s="2"/>
      <c r="O30" s="2"/>
      <c r="P30" s="2"/>
      <c r="Q30" s="2"/>
      <c r="R30" s="2"/>
      <c r="S30" s="2"/>
      <c r="T30" s="2"/>
      <c r="U30" s="2"/>
      <c r="V30" s="2"/>
      <c r="W30" s="2"/>
      <c r="X30" s="2"/>
      <c r="Y30" s="2"/>
      <c r="Z30" s="2"/>
    </row>
    <row r="31">
      <c r="C31" s="2"/>
      <c r="D31" s="2"/>
      <c r="E31" s="2"/>
      <c r="F31" s="2"/>
      <c r="G31" s="2"/>
      <c r="H31" s="2"/>
      <c r="I31" s="2"/>
      <c r="J31" s="2"/>
      <c r="K31" s="2"/>
      <c r="L31" s="2"/>
      <c r="M31" s="2"/>
      <c r="N31" s="2"/>
      <c r="O31" s="2"/>
      <c r="P31" s="2"/>
      <c r="Q31" s="2"/>
      <c r="R31" s="2"/>
      <c r="S31" s="2"/>
      <c r="T31" s="2"/>
      <c r="U31" s="2"/>
      <c r="V31" s="2"/>
      <c r="W31" s="2"/>
      <c r="X31" s="2"/>
      <c r="Y31" s="2"/>
      <c r="Z31" s="2"/>
    </row>
    <row r="32">
      <c r="C32" s="2"/>
      <c r="D32" s="2"/>
      <c r="E32" s="2"/>
      <c r="F32" s="2"/>
      <c r="G32" s="2"/>
      <c r="H32" s="2"/>
      <c r="I32" s="2"/>
      <c r="J32" s="2"/>
      <c r="K32" s="2"/>
      <c r="L32" s="2"/>
      <c r="M32" s="2"/>
      <c r="N32" s="2"/>
      <c r="O32" s="2"/>
      <c r="P32" s="2"/>
      <c r="Q32" s="2"/>
      <c r="R32" s="2"/>
      <c r="S32" s="2"/>
      <c r="T32" s="2"/>
      <c r="U32" s="2"/>
      <c r="V32" s="2"/>
      <c r="W32" s="2"/>
      <c r="X32" s="2"/>
      <c r="Y32" s="2"/>
      <c r="Z32" s="2"/>
    </row>
    <row r="33">
      <c r="C33" s="2"/>
      <c r="D33" s="2"/>
      <c r="E33" s="2"/>
      <c r="F33" s="2"/>
      <c r="G33" s="2"/>
      <c r="H33" s="2"/>
      <c r="I33" s="2"/>
      <c r="J33" s="2"/>
      <c r="K33" s="2"/>
      <c r="L33" s="2"/>
      <c r="M33" s="2"/>
      <c r="N33" s="2"/>
      <c r="O33" s="2"/>
      <c r="P33" s="2"/>
      <c r="Q33" s="2"/>
      <c r="R33" s="2"/>
      <c r="S33" s="2"/>
      <c r="T33" s="2"/>
      <c r="U33" s="2"/>
      <c r="V33" s="2"/>
      <c r="W33" s="2"/>
      <c r="X33" s="2"/>
      <c r="Y33" s="2"/>
      <c r="Z33" s="2"/>
    </row>
    <row r="34">
      <c r="C34" s="2"/>
      <c r="D34" s="2"/>
      <c r="E34" s="2"/>
      <c r="F34" s="2"/>
      <c r="G34" s="2"/>
      <c r="H34" s="2"/>
      <c r="I34" s="2"/>
      <c r="J34" s="2"/>
      <c r="K34" s="2"/>
      <c r="L34" s="2"/>
      <c r="M34" s="2"/>
      <c r="N34" s="2"/>
      <c r="O34" s="2"/>
      <c r="P34" s="2"/>
      <c r="Q34" s="2"/>
      <c r="R34" s="2"/>
      <c r="S34" s="2"/>
      <c r="T34" s="2"/>
      <c r="U34" s="2"/>
      <c r="V34" s="2"/>
      <c r="W34" s="2"/>
      <c r="X34" s="2"/>
      <c r="Y34" s="2"/>
      <c r="Z34" s="2"/>
    </row>
    <row r="35">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1.5"/>
    <col customWidth="1" min="3" max="3" width="9.63"/>
    <col customWidth="1" min="4" max="4" width="5.0"/>
    <col customWidth="1" min="5" max="5" width="36.5"/>
    <col customWidth="1" min="6" max="6" width="86.0"/>
    <col customWidth="1" min="7" max="7" width="9.75"/>
    <col customWidth="1" min="8" max="8" width="9.25"/>
  </cols>
  <sheetData>
    <row r="1">
      <c r="A1" s="3" t="s">
        <v>3</v>
      </c>
      <c r="B1" s="3" t="s">
        <v>4</v>
      </c>
      <c r="C1" s="4" t="s">
        <v>5</v>
      </c>
      <c r="D1" s="5" t="s">
        <v>6</v>
      </c>
      <c r="E1" s="6" t="s">
        <v>7</v>
      </c>
      <c r="F1" s="7" t="s">
        <v>8</v>
      </c>
      <c r="G1" s="8" t="s">
        <v>9</v>
      </c>
      <c r="H1" s="9" t="s">
        <v>10</v>
      </c>
    </row>
    <row r="2">
      <c r="A2" s="10">
        <v>279.0</v>
      </c>
      <c r="B2" s="3" t="s">
        <v>11</v>
      </c>
      <c r="C2" s="11">
        <v>1.0</v>
      </c>
      <c r="D2" s="11" t="s">
        <v>12</v>
      </c>
      <c r="E2" s="12" t="s">
        <v>13</v>
      </c>
      <c r="F2" s="13" t="s">
        <v>14</v>
      </c>
      <c r="G2" s="14">
        <v>-103.08</v>
      </c>
      <c r="H2" s="15"/>
    </row>
    <row r="3">
      <c r="A3" s="10">
        <v>280.0</v>
      </c>
      <c r="B3" s="3" t="s">
        <v>11</v>
      </c>
      <c r="C3" s="11">
        <v>1.0</v>
      </c>
      <c r="D3" s="11" t="s">
        <v>12</v>
      </c>
      <c r="E3" s="12" t="s">
        <v>13</v>
      </c>
      <c r="F3" s="13" t="s">
        <v>15</v>
      </c>
      <c r="G3" s="14">
        <v>-75.2</v>
      </c>
      <c r="H3" s="15"/>
    </row>
    <row r="4">
      <c r="A4" s="10">
        <v>255.0</v>
      </c>
      <c r="B4" s="3" t="s">
        <v>11</v>
      </c>
      <c r="C4" s="11">
        <v>1.0</v>
      </c>
      <c r="D4" s="11" t="s">
        <v>12</v>
      </c>
      <c r="E4" s="16" t="s">
        <v>16</v>
      </c>
      <c r="F4" s="13" t="s">
        <v>17</v>
      </c>
      <c r="G4" s="14">
        <v>-117.7</v>
      </c>
      <c r="H4" s="15"/>
    </row>
    <row r="5">
      <c r="A5" s="10">
        <v>256.0</v>
      </c>
      <c r="B5" s="3" t="s">
        <v>11</v>
      </c>
      <c r="C5" s="11">
        <v>1.0</v>
      </c>
      <c r="D5" s="11" t="s">
        <v>12</v>
      </c>
      <c r="E5" s="16" t="s">
        <v>16</v>
      </c>
      <c r="F5" s="13" t="s">
        <v>18</v>
      </c>
      <c r="G5" s="14">
        <v>-117.7</v>
      </c>
      <c r="H5" s="15"/>
    </row>
    <row r="6">
      <c r="A6" s="10">
        <v>257.0</v>
      </c>
      <c r="B6" s="3" t="s">
        <v>11</v>
      </c>
      <c r="C6" s="11">
        <v>1.0</v>
      </c>
      <c r="D6" s="11" t="s">
        <v>12</v>
      </c>
      <c r="E6" s="16" t="s">
        <v>16</v>
      </c>
      <c r="F6" s="13" t="s">
        <v>19</v>
      </c>
      <c r="G6" s="14">
        <v>-76.17</v>
      </c>
      <c r="H6" s="15"/>
    </row>
    <row r="7">
      <c r="A7" s="10">
        <v>258.0</v>
      </c>
      <c r="B7" s="3" t="s">
        <v>11</v>
      </c>
      <c r="C7" s="11">
        <v>1.0</v>
      </c>
      <c r="D7" s="11" t="s">
        <v>12</v>
      </c>
      <c r="E7" s="16" t="s">
        <v>16</v>
      </c>
      <c r="F7" s="13" t="s">
        <v>20</v>
      </c>
      <c r="G7" s="14">
        <v>-76.17</v>
      </c>
      <c r="H7" s="15"/>
    </row>
    <row r="8">
      <c r="A8" s="10">
        <v>259.0</v>
      </c>
      <c r="B8" s="3" t="s">
        <v>11</v>
      </c>
      <c r="C8" s="11">
        <v>1.0</v>
      </c>
      <c r="D8" s="11" t="s">
        <v>12</v>
      </c>
      <c r="E8" s="16" t="s">
        <v>16</v>
      </c>
      <c r="F8" s="13" t="s">
        <v>21</v>
      </c>
      <c r="G8" s="14">
        <v>-76.17</v>
      </c>
      <c r="H8" s="15"/>
    </row>
    <row r="9">
      <c r="A9" s="10">
        <v>260.0</v>
      </c>
      <c r="B9" s="3" t="s">
        <v>11</v>
      </c>
      <c r="C9" s="11">
        <v>1.0</v>
      </c>
      <c r="D9" s="11" t="s">
        <v>12</v>
      </c>
      <c r="E9" s="16" t="s">
        <v>16</v>
      </c>
      <c r="F9" s="13" t="s">
        <v>22</v>
      </c>
      <c r="G9" s="14">
        <v>-85.7</v>
      </c>
      <c r="H9" s="15"/>
    </row>
    <row r="10">
      <c r="A10" s="10">
        <v>261.0</v>
      </c>
      <c r="B10" s="3" t="s">
        <v>11</v>
      </c>
      <c r="C10" s="11">
        <v>1.0</v>
      </c>
      <c r="D10" s="11" t="s">
        <v>12</v>
      </c>
      <c r="E10" s="16" t="s">
        <v>16</v>
      </c>
      <c r="F10" s="13" t="s">
        <v>23</v>
      </c>
      <c r="G10" s="14">
        <v>-85.7</v>
      </c>
      <c r="H10" s="15"/>
    </row>
    <row r="11">
      <c r="A11" s="10">
        <v>262.0</v>
      </c>
      <c r="B11" s="3" t="s">
        <v>11</v>
      </c>
      <c r="C11" s="11">
        <v>1.0</v>
      </c>
      <c r="D11" s="11" t="s">
        <v>12</v>
      </c>
      <c r="E11" s="16" t="s">
        <v>16</v>
      </c>
      <c r="F11" s="13" t="s">
        <v>24</v>
      </c>
      <c r="G11" s="14">
        <v>-117.7</v>
      </c>
      <c r="H11" s="15"/>
    </row>
    <row r="12">
      <c r="A12" s="10">
        <v>263.0</v>
      </c>
      <c r="B12" s="3" t="s">
        <v>11</v>
      </c>
      <c r="C12" s="11">
        <v>1.0</v>
      </c>
      <c r="D12" s="11" t="s">
        <v>12</v>
      </c>
      <c r="E12" s="16" t="s">
        <v>16</v>
      </c>
      <c r="F12" s="13" t="s">
        <v>25</v>
      </c>
      <c r="G12" s="14">
        <v>-117.7</v>
      </c>
      <c r="H12" s="15"/>
    </row>
    <row r="13">
      <c r="A13" s="10">
        <v>264.0</v>
      </c>
      <c r="B13" s="3" t="s">
        <v>11</v>
      </c>
      <c r="C13" s="11">
        <v>1.0</v>
      </c>
      <c r="D13" s="11" t="s">
        <v>12</v>
      </c>
      <c r="E13" s="16" t="s">
        <v>16</v>
      </c>
      <c r="F13" s="13" t="s">
        <v>26</v>
      </c>
      <c r="G13" s="14">
        <v>-117.7</v>
      </c>
      <c r="H13" s="15"/>
    </row>
    <row r="14">
      <c r="A14" s="10">
        <v>251.0</v>
      </c>
      <c r="B14" s="3" t="s">
        <v>11</v>
      </c>
      <c r="C14" s="11">
        <v>1.0</v>
      </c>
      <c r="D14" s="11" t="s">
        <v>12</v>
      </c>
      <c r="E14" s="16" t="s">
        <v>27</v>
      </c>
      <c r="F14" s="13" t="s">
        <v>28</v>
      </c>
      <c r="G14" s="14">
        <v>-28.71</v>
      </c>
      <c r="H14" s="15"/>
    </row>
    <row r="15">
      <c r="A15" s="10">
        <v>252.0</v>
      </c>
      <c r="B15" s="3" t="s">
        <v>11</v>
      </c>
      <c r="C15" s="11">
        <v>1.0</v>
      </c>
      <c r="D15" s="11" t="s">
        <v>12</v>
      </c>
      <c r="E15" s="16" t="s">
        <v>27</v>
      </c>
      <c r="F15" s="13" t="s">
        <v>29</v>
      </c>
      <c r="G15" s="14">
        <v>-37.86</v>
      </c>
      <c r="H15" s="15"/>
    </row>
    <row r="16">
      <c r="A16" s="10">
        <v>277.0</v>
      </c>
      <c r="B16" s="3" t="s">
        <v>11</v>
      </c>
      <c r="C16" s="11">
        <v>1.0</v>
      </c>
      <c r="D16" s="11" t="s">
        <v>12</v>
      </c>
      <c r="E16" s="17" t="s">
        <v>30</v>
      </c>
      <c r="F16" s="13" t="s">
        <v>31</v>
      </c>
      <c r="G16" s="14">
        <v>-13.81</v>
      </c>
      <c r="H16" s="15"/>
    </row>
    <row r="17">
      <c r="A17" s="10">
        <v>278.0</v>
      </c>
      <c r="B17" s="3" t="s">
        <v>11</v>
      </c>
      <c r="C17" s="11">
        <v>1.0</v>
      </c>
      <c r="D17" s="11" t="s">
        <v>12</v>
      </c>
      <c r="E17" s="17" t="s">
        <v>30</v>
      </c>
      <c r="F17" s="13" t="s">
        <v>32</v>
      </c>
      <c r="G17" s="14">
        <v>-9.5</v>
      </c>
      <c r="H17" s="15"/>
    </row>
    <row r="18">
      <c r="A18" s="10">
        <v>224.0</v>
      </c>
      <c r="B18" s="3" t="s">
        <v>11</v>
      </c>
      <c r="C18" s="11">
        <v>1.0</v>
      </c>
      <c r="D18" s="11" t="s">
        <v>12</v>
      </c>
      <c r="E18" s="12" t="s">
        <v>33</v>
      </c>
      <c r="F18" s="13" t="s">
        <v>34</v>
      </c>
      <c r="G18" s="14">
        <v>-99.32</v>
      </c>
      <c r="H18" s="15"/>
    </row>
    <row r="19">
      <c r="A19" s="10">
        <v>225.0</v>
      </c>
      <c r="B19" s="3" t="s">
        <v>11</v>
      </c>
      <c r="C19" s="11">
        <v>1.0</v>
      </c>
      <c r="D19" s="11" t="s">
        <v>12</v>
      </c>
      <c r="E19" s="12" t="s">
        <v>33</v>
      </c>
      <c r="F19" s="13" t="s">
        <v>35</v>
      </c>
      <c r="G19" s="14">
        <v>-106.17</v>
      </c>
      <c r="H19" s="15"/>
    </row>
    <row r="20">
      <c r="A20" s="10">
        <v>226.0</v>
      </c>
      <c r="B20" s="3" t="s">
        <v>11</v>
      </c>
      <c r="C20" s="11">
        <v>1.0</v>
      </c>
      <c r="D20" s="11" t="s">
        <v>12</v>
      </c>
      <c r="E20" s="12" t="s">
        <v>33</v>
      </c>
      <c r="F20" s="13" t="s">
        <v>36</v>
      </c>
      <c r="G20" s="14">
        <v>-111.3</v>
      </c>
      <c r="H20" s="15"/>
    </row>
    <row r="21">
      <c r="A21" s="10">
        <v>228.0</v>
      </c>
      <c r="B21" s="3" t="s">
        <v>11</v>
      </c>
      <c r="C21" s="11">
        <v>1.0</v>
      </c>
      <c r="D21" s="11" t="s">
        <v>12</v>
      </c>
      <c r="E21" s="16" t="s">
        <v>37</v>
      </c>
      <c r="F21" s="13" t="s">
        <v>38</v>
      </c>
      <c r="G21" s="14">
        <v>-62.38</v>
      </c>
      <c r="H21" s="15"/>
    </row>
    <row r="22">
      <c r="A22" s="10">
        <v>223.0</v>
      </c>
      <c r="B22" s="3" t="s">
        <v>11</v>
      </c>
      <c r="C22" s="11">
        <v>1.0</v>
      </c>
      <c r="D22" s="11" t="s">
        <v>12</v>
      </c>
      <c r="E22" s="12" t="s">
        <v>39</v>
      </c>
      <c r="F22" s="13" t="s">
        <v>40</v>
      </c>
      <c r="G22" s="14">
        <v>-1045.02</v>
      </c>
      <c r="H22" s="15"/>
    </row>
    <row r="23">
      <c r="A23" s="10">
        <v>253.0</v>
      </c>
      <c r="B23" s="3" t="s">
        <v>11</v>
      </c>
      <c r="C23" s="11">
        <v>1.0</v>
      </c>
      <c r="D23" s="11" t="s">
        <v>12</v>
      </c>
      <c r="E23" s="16" t="s">
        <v>41</v>
      </c>
      <c r="F23" s="13" t="s">
        <v>42</v>
      </c>
      <c r="G23" s="14">
        <v>-5.99</v>
      </c>
      <c r="H23" s="15"/>
    </row>
    <row r="24">
      <c r="A24" s="10">
        <v>254.0</v>
      </c>
      <c r="B24" s="3" t="s">
        <v>11</v>
      </c>
      <c r="C24" s="11">
        <v>1.0</v>
      </c>
      <c r="D24" s="11" t="s">
        <v>43</v>
      </c>
      <c r="E24" s="16" t="s">
        <v>41</v>
      </c>
      <c r="F24" s="13" t="s">
        <v>44</v>
      </c>
      <c r="G24" s="14">
        <v>-5.99</v>
      </c>
      <c r="H24" s="15"/>
    </row>
    <row r="25">
      <c r="A25" s="10">
        <v>229.0</v>
      </c>
      <c r="B25" s="3" t="s">
        <v>11</v>
      </c>
      <c r="C25" s="11">
        <v>1.0</v>
      </c>
      <c r="D25" s="11" t="s">
        <v>12</v>
      </c>
      <c r="E25" s="12" t="s">
        <v>45</v>
      </c>
      <c r="F25" s="13" t="s">
        <v>46</v>
      </c>
      <c r="G25" s="14">
        <v>-228.34</v>
      </c>
      <c r="H25" s="15"/>
    </row>
    <row r="26">
      <c r="A26" s="10">
        <v>230.0</v>
      </c>
      <c r="B26" s="3" t="s">
        <v>11</v>
      </c>
      <c r="C26" s="11">
        <v>1.0</v>
      </c>
      <c r="D26" s="11" t="s">
        <v>12</v>
      </c>
      <c r="E26" s="12" t="s">
        <v>45</v>
      </c>
      <c r="F26" s="13" t="s">
        <v>47</v>
      </c>
      <c r="G26" s="14">
        <v>-280.0</v>
      </c>
      <c r="H26" s="15"/>
    </row>
    <row r="27">
      <c r="A27" s="10">
        <v>231.0</v>
      </c>
      <c r="B27" s="3" t="s">
        <v>11</v>
      </c>
      <c r="C27" s="11">
        <v>1.0</v>
      </c>
      <c r="D27" s="11" t="s">
        <v>12</v>
      </c>
      <c r="E27" s="12" t="s">
        <v>45</v>
      </c>
      <c r="F27" s="13" t="s">
        <v>48</v>
      </c>
      <c r="G27" s="14">
        <v>-72.39</v>
      </c>
      <c r="H27" s="15"/>
    </row>
    <row r="28">
      <c r="A28" s="10">
        <v>232.0</v>
      </c>
      <c r="B28" s="3" t="s">
        <v>11</v>
      </c>
      <c r="C28" s="11">
        <v>1.0</v>
      </c>
      <c r="D28" s="11" t="s">
        <v>12</v>
      </c>
      <c r="E28" s="12" t="s">
        <v>45</v>
      </c>
      <c r="F28" s="13" t="s">
        <v>49</v>
      </c>
      <c r="G28" s="14">
        <v>-126.96</v>
      </c>
      <c r="H28" s="15"/>
    </row>
    <row r="29">
      <c r="A29" s="10">
        <v>233.0</v>
      </c>
      <c r="B29" s="3" t="s">
        <v>11</v>
      </c>
      <c r="C29" s="11">
        <v>1.0</v>
      </c>
      <c r="D29" s="11" t="s">
        <v>12</v>
      </c>
      <c r="E29" s="12" t="s">
        <v>45</v>
      </c>
      <c r="F29" s="13" t="s">
        <v>50</v>
      </c>
      <c r="G29" s="14">
        <v>-132.5</v>
      </c>
      <c r="H29" s="15"/>
    </row>
    <row r="30">
      <c r="A30" s="10">
        <v>234.0</v>
      </c>
      <c r="B30" s="3" t="s">
        <v>11</v>
      </c>
      <c r="C30" s="11">
        <v>1.0</v>
      </c>
      <c r="D30" s="11" t="s">
        <v>12</v>
      </c>
      <c r="E30" s="12" t="s">
        <v>45</v>
      </c>
      <c r="F30" s="13" t="s">
        <v>51</v>
      </c>
      <c r="G30" s="14">
        <v>-361.96</v>
      </c>
      <c r="H30" s="15"/>
    </row>
    <row r="31">
      <c r="A31" s="10">
        <v>235.0</v>
      </c>
      <c r="B31" s="3" t="s">
        <v>11</v>
      </c>
      <c r="C31" s="11">
        <v>1.0</v>
      </c>
      <c r="D31" s="11" t="s">
        <v>12</v>
      </c>
      <c r="E31" s="12" t="s">
        <v>45</v>
      </c>
      <c r="F31" s="13" t="s">
        <v>52</v>
      </c>
      <c r="G31" s="14">
        <v>-389.08</v>
      </c>
      <c r="H31" s="15"/>
    </row>
    <row r="32">
      <c r="A32" s="10">
        <v>236.0</v>
      </c>
      <c r="B32" s="3" t="s">
        <v>11</v>
      </c>
      <c r="C32" s="11">
        <v>1.0</v>
      </c>
      <c r="D32" s="11" t="s">
        <v>12</v>
      </c>
      <c r="E32" s="12" t="s">
        <v>45</v>
      </c>
      <c r="F32" s="13" t="s">
        <v>53</v>
      </c>
      <c r="G32" s="14">
        <v>-289.09</v>
      </c>
      <c r="H32" s="15"/>
    </row>
    <row r="33">
      <c r="A33" s="10">
        <v>237.0</v>
      </c>
      <c r="B33" s="3" t="s">
        <v>11</v>
      </c>
      <c r="C33" s="11">
        <v>1.0</v>
      </c>
      <c r="D33" s="11" t="s">
        <v>12</v>
      </c>
      <c r="E33" s="12" t="s">
        <v>45</v>
      </c>
      <c r="F33" s="13" t="s">
        <v>54</v>
      </c>
      <c r="G33" s="14">
        <v>-26.8</v>
      </c>
      <c r="H33" s="15"/>
    </row>
    <row r="34">
      <c r="A34" s="10">
        <v>238.0</v>
      </c>
      <c r="B34" s="3" t="s">
        <v>11</v>
      </c>
      <c r="C34" s="11">
        <v>1.0</v>
      </c>
      <c r="D34" s="11" t="s">
        <v>12</v>
      </c>
      <c r="E34" s="12" t="s">
        <v>45</v>
      </c>
      <c r="F34" s="13" t="s">
        <v>55</v>
      </c>
      <c r="G34" s="14">
        <v>-57.54</v>
      </c>
      <c r="H34" s="15"/>
    </row>
    <row r="35">
      <c r="A35" s="10">
        <v>276.0</v>
      </c>
      <c r="B35" s="3" t="s">
        <v>11</v>
      </c>
      <c r="C35" s="11">
        <v>1.0</v>
      </c>
      <c r="D35" s="11" t="s">
        <v>12</v>
      </c>
      <c r="E35" s="18" t="s">
        <v>56</v>
      </c>
      <c r="F35" s="13" t="s">
        <v>57</v>
      </c>
      <c r="G35" s="14">
        <v>-317.66</v>
      </c>
      <c r="H35" s="15"/>
    </row>
    <row r="36">
      <c r="A36" s="10">
        <v>182.0</v>
      </c>
      <c r="B36" s="3" t="s">
        <v>11</v>
      </c>
      <c r="C36" s="3">
        <v>1.0</v>
      </c>
      <c r="D36" s="3" t="s">
        <v>12</v>
      </c>
      <c r="E36" s="12" t="s">
        <v>58</v>
      </c>
      <c r="F36" s="19" t="s">
        <v>59</v>
      </c>
      <c r="G36" s="14">
        <v>650.0</v>
      </c>
      <c r="H36" s="15"/>
    </row>
    <row r="37">
      <c r="A37" s="10">
        <v>183.0</v>
      </c>
      <c r="B37" s="3" t="s">
        <v>11</v>
      </c>
      <c r="C37" s="3">
        <v>1.0</v>
      </c>
      <c r="D37" s="3" t="s">
        <v>12</v>
      </c>
      <c r="E37" s="12" t="s">
        <v>58</v>
      </c>
      <c r="F37" s="19" t="s">
        <v>60</v>
      </c>
      <c r="G37" s="14">
        <v>675.0</v>
      </c>
      <c r="H37" s="15"/>
    </row>
    <row r="38">
      <c r="A38" s="10">
        <v>184.0</v>
      </c>
      <c r="B38" s="3" t="s">
        <v>11</v>
      </c>
      <c r="C38" s="3">
        <v>1.0</v>
      </c>
      <c r="D38" s="3" t="s">
        <v>12</v>
      </c>
      <c r="E38" s="12" t="s">
        <v>58</v>
      </c>
      <c r="F38" s="19" t="s">
        <v>61</v>
      </c>
      <c r="G38" s="14">
        <v>675.0</v>
      </c>
      <c r="H38" s="15"/>
    </row>
    <row r="39">
      <c r="A39" s="10">
        <v>185.0</v>
      </c>
      <c r="B39" s="3" t="s">
        <v>11</v>
      </c>
      <c r="C39" s="3">
        <v>1.0</v>
      </c>
      <c r="D39" s="3" t="s">
        <v>12</v>
      </c>
      <c r="E39" s="12" t="s">
        <v>58</v>
      </c>
      <c r="F39" s="19" t="s">
        <v>62</v>
      </c>
      <c r="G39" s="14">
        <v>675.0</v>
      </c>
      <c r="H39" s="15"/>
    </row>
    <row r="40">
      <c r="A40" s="10">
        <v>186.0</v>
      </c>
      <c r="B40" s="3" t="s">
        <v>11</v>
      </c>
      <c r="C40" s="3">
        <v>1.0</v>
      </c>
      <c r="D40" s="3" t="s">
        <v>12</v>
      </c>
      <c r="E40" s="12" t="s">
        <v>58</v>
      </c>
      <c r="F40" s="19" t="s">
        <v>63</v>
      </c>
      <c r="G40" s="14">
        <v>689.51</v>
      </c>
      <c r="H40" s="15"/>
    </row>
    <row r="41">
      <c r="A41" s="10">
        <v>187.0</v>
      </c>
      <c r="B41" s="3" t="s">
        <v>11</v>
      </c>
      <c r="C41" s="3">
        <v>1.0</v>
      </c>
      <c r="D41" s="3" t="s">
        <v>12</v>
      </c>
      <c r="E41" s="12" t="s">
        <v>58</v>
      </c>
      <c r="F41" s="19" t="s">
        <v>64</v>
      </c>
      <c r="G41" s="20">
        <v>650.0</v>
      </c>
      <c r="H41" s="15"/>
    </row>
    <row r="42">
      <c r="A42" s="10">
        <v>188.0</v>
      </c>
      <c r="B42" s="3" t="s">
        <v>11</v>
      </c>
      <c r="C42" s="3">
        <v>1.0</v>
      </c>
      <c r="D42" s="3" t="s">
        <v>12</v>
      </c>
      <c r="E42" s="12" t="s">
        <v>58</v>
      </c>
      <c r="F42" s="19" t="s">
        <v>65</v>
      </c>
      <c r="G42" s="14">
        <v>675.0</v>
      </c>
      <c r="H42" s="15"/>
    </row>
    <row r="43">
      <c r="A43" s="10">
        <v>189.0</v>
      </c>
      <c r="B43" s="3" t="s">
        <v>11</v>
      </c>
      <c r="C43" s="3">
        <v>1.0</v>
      </c>
      <c r="D43" s="3" t="s">
        <v>12</v>
      </c>
      <c r="E43" s="12" t="s">
        <v>58</v>
      </c>
      <c r="F43" s="19" t="s">
        <v>66</v>
      </c>
      <c r="G43" s="20">
        <v>625.0</v>
      </c>
      <c r="H43" s="15"/>
    </row>
    <row r="44">
      <c r="A44" s="10">
        <v>190.0</v>
      </c>
      <c r="B44" s="3" t="s">
        <v>11</v>
      </c>
      <c r="C44" s="3">
        <v>1.0</v>
      </c>
      <c r="D44" s="3" t="s">
        <v>12</v>
      </c>
      <c r="E44" s="12" t="s">
        <v>58</v>
      </c>
      <c r="F44" s="19" t="s">
        <v>67</v>
      </c>
      <c r="G44" s="20">
        <v>650.0</v>
      </c>
      <c r="H44" s="15"/>
    </row>
    <row r="45">
      <c r="A45" s="10">
        <v>191.0</v>
      </c>
      <c r="B45" s="3" t="s">
        <v>11</v>
      </c>
      <c r="C45" s="11">
        <v>1.0</v>
      </c>
      <c r="D45" s="11" t="s">
        <v>12</v>
      </c>
      <c r="E45" s="12" t="s">
        <v>58</v>
      </c>
      <c r="F45" s="13" t="s">
        <v>68</v>
      </c>
      <c r="G45" s="20">
        <v>675.0</v>
      </c>
      <c r="H45" s="15"/>
    </row>
    <row r="46">
      <c r="A46" s="10">
        <v>192.0</v>
      </c>
      <c r="B46" s="3" t="s">
        <v>11</v>
      </c>
      <c r="C46" s="11">
        <v>1.0</v>
      </c>
      <c r="D46" s="11" t="s">
        <v>12</v>
      </c>
      <c r="E46" s="12" t="s">
        <v>58</v>
      </c>
      <c r="F46" s="13" t="s">
        <v>69</v>
      </c>
      <c r="G46" s="14">
        <v>675.0</v>
      </c>
      <c r="H46" s="15"/>
    </row>
    <row r="47">
      <c r="A47" s="10">
        <v>193.0</v>
      </c>
      <c r="B47" s="3" t="s">
        <v>11</v>
      </c>
      <c r="C47" s="11">
        <v>1.0</v>
      </c>
      <c r="D47" s="11" t="s">
        <v>12</v>
      </c>
      <c r="E47" s="12" t="s">
        <v>58</v>
      </c>
      <c r="F47" s="13" t="s">
        <v>70</v>
      </c>
      <c r="G47" s="14">
        <v>700.0</v>
      </c>
      <c r="H47" s="15"/>
    </row>
    <row r="48">
      <c r="A48" s="10">
        <v>194.0</v>
      </c>
      <c r="B48" s="3" t="s">
        <v>11</v>
      </c>
      <c r="C48" s="11">
        <v>1.0</v>
      </c>
      <c r="D48" s="11" t="s">
        <v>12</v>
      </c>
      <c r="E48" s="12" t="s">
        <v>58</v>
      </c>
      <c r="F48" s="13" t="s">
        <v>71</v>
      </c>
      <c r="G48" s="14">
        <v>708.0699999999999</v>
      </c>
      <c r="H48" s="15"/>
    </row>
    <row r="49">
      <c r="A49" s="10">
        <v>195.0</v>
      </c>
      <c r="B49" s="3" t="s">
        <v>11</v>
      </c>
      <c r="C49" s="11">
        <v>1.0</v>
      </c>
      <c r="D49" s="11" t="s">
        <v>12</v>
      </c>
      <c r="E49" s="12" t="s">
        <v>58</v>
      </c>
      <c r="F49" s="13" t="s">
        <v>72</v>
      </c>
      <c r="G49" s="14">
        <v>675.0</v>
      </c>
      <c r="H49" s="15"/>
    </row>
    <row r="50">
      <c r="A50" s="10">
        <v>196.0</v>
      </c>
      <c r="B50" s="3" t="s">
        <v>11</v>
      </c>
      <c r="C50" s="11">
        <v>1.0</v>
      </c>
      <c r="D50" s="11" t="s">
        <v>12</v>
      </c>
      <c r="E50" s="12" t="s">
        <v>58</v>
      </c>
      <c r="F50" s="13" t="s">
        <v>73</v>
      </c>
      <c r="G50" s="14">
        <v>750.0</v>
      </c>
      <c r="H50" s="15"/>
    </row>
    <row r="51">
      <c r="A51" s="10">
        <v>197.0</v>
      </c>
      <c r="B51" s="3" t="s">
        <v>11</v>
      </c>
      <c r="C51" s="11">
        <v>1.0</v>
      </c>
      <c r="D51" s="11" t="s">
        <v>12</v>
      </c>
      <c r="E51" s="12" t="s">
        <v>58</v>
      </c>
      <c r="F51" s="13" t="s">
        <v>74</v>
      </c>
      <c r="G51" s="14">
        <v>725.0</v>
      </c>
      <c r="H51" s="15"/>
    </row>
    <row r="52">
      <c r="A52" s="10">
        <v>198.0</v>
      </c>
      <c r="B52" s="3" t="s">
        <v>11</v>
      </c>
      <c r="C52" s="11">
        <v>1.0</v>
      </c>
      <c r="D52" s="11" t="s">
        <v>12</v>
      </c>
      <c r="E52" s="12" t="s">
        <v>58</v>
      </c>
      <c r="F52" s="13" t="s">
        <v>75</v>
      </c>
      <c r="G52" s="14">
        <v>0.0</v>
      </c>
      <c r="H52" s="15"/>
    </row>
    <row r="53">
      <c r="A53" s="10">
        <v>199.0</v>
      </c>
      <c r="B53" s="3" t="s">
        <v>11</v>
      </c>
      <c r="C53" s="11">
        <v>1.0</v>
      </c>
      <c r="D53" s="11" t="s">
        <v>12</v>
      </c>
      <c r="E53" s="12" t="s">
        <v>58</v>
      </c>
      <c r="F53" s="13" t="s">
        <v>76</v>
      </c>
      <c r="G53" s="14">
        <v>0.0</v>
      </c>
      <c r="H53" s="15"/>
    </row>
    <row r="54">
      <c r="A54" s="10">
        <v>200.0</v>
      </c>
      <c r="B54" s="3" t="s">
        <v>11</v>
      </c>
      <c r="C54" s="11">
        <v>1.0</v>
      </c>
      <c r="D54" s="11" t="s">
        <v>12</v>
      </c>
      <c r="E54" s="12" t="s">
        <v>58</v>
      </c>
      <c r="F54" s="13" t="s">
        <v>77</v>
      </c>
      <c r="G54" s="14">
        <v>650.0</v>
      </c>
      <c r="H54" s="15"/>
    </row>
    <row r="55">
      <c r="A55" s="10">
        <v>201.0</v>
      </c>
      <c r="B55" s="3" t="s">
        <v>11</v>
      </c>
      <c r="C55" s="11">
        <v>1.0</v>
      </c>
      <c r="D55" s="11" t="s">
        <v>12</v>
      </c>
      <c r="E55" s="12" t="s">
        <v>58</v>
      </c>
      <c r="F55" s="13" t="s">
        <v>78</v>
      </c>
      <c r="G55" s="14">
        <v>725.0</v>
      </c>
      <c r="H55" s="15"/>
    </row>
    <row r="56">
      <c r="A56" s="10">
        <v>202.0</v>
      </c>
      <c r="B56" s="3" t="s">
        <v>11</v>
      </c>
      <c r="C56" s="11">
        <v>1.0</v>
      </c>
      <c r="D56" s="11" t="s">
        <v>12</v>
      </c>
      <c r="E56" s="12" t="s">
        <v>58</v>
      </c>
      <c r="F56" s="13" t="s">
        <v>79</v>
      </c>
      <c r="G56" s="14">
        <v>875.0</v>
      </c>
      <c r="H56" s="15"/>
    </row>
    <row r="57">
      <c r="A57" s="10">
        <v>203.0</v>
      </c>
      <c r="B57" s="3" t="s">
        <v>11</v>
      </c>
      <c r="C57" s="11">
        <v>1.0</v>
      </c>
      <c r="D57" s="11" t="s">
        <v>12</v>
      </c>
      <c r="E57" s="12" t="s">
        <v>58</v>
      </c>
      <c r="F57" s="13" t="s">
        <v>80</v>
      </c>
      <c r="G57" s="14">
        <v>1170.0</v>
      </c>
      <c r="H57" s="15"/>
    </row>
    <row r="58">
      <c r="A58" s="10">
        <v>204.0</v>
      </c>
      <c r="B58" s="3" t="s">
        <v>11</v>
      </c>
      <c r="C58" s="11">
        <v>1.0</v>
      </c>
      <c r="D58" s="11" t="s">
        <v>12</v>
      </c>
      <c r="E58" s="12" t="s">
        <v>58</v>
      </c>
      <c r="F58" s="13" t="s">
        <v>81</v>
      </c>
      <c r="G58" s="20">
        <v>650.0</v>
      </c>
      <c r="H58" s="15"/>
    </row>
    <row r="59">
      <c r="A59" s="10">
        <v>205.0</v>
      </c>
      <c r="B59" s="3" t="s">
        <v>11</v>
      </c>
      <c r="C59" s="11">
        <v>1.0</v>
      </c>
      <c r="D59" s="11" t="s">
        <v>12</v>
      </c>
      <c r="E59" s="12" t="s">
        <v>58</v>
      </c>
      <c r="F59" s="13" t="s">
        <v>82</v>
      </c>
      <c r="G59" s="14">
        <v>675.0</v>
      </c>
      <c r="H59" s="15"/>
    </row>
    <row r="60">
      <c r="A60" s="10">
        <v>206.0</v>
      </c>
      <c r="B60" s="3" t="s">
        <v>11</v>
      </c>
      <c r="C60" s="11">
        <v>1.0</v>
      </c>
      <c r="D60" s="11" t="s">
        <v>12</v>
      </c>
      <c r="E60" s="12" t="s">
        <v>58</v>
      </c>
      <c r="F60" s="13" t="s">
        <v>83</v>
      </c>
      <c r="G60" s="14">
        <v>675.0</v>
      </c>
      <c r="H60" s="15"/>
    </row>
    <row r="61">
      <c r="A61" s="10">
        <v>207.0</v>
      </c>
      <c r="B61" s="3" t="s">
        <v>11</v>
      </c>
      <c r="C61" s="11">
        <v>1.0</v>
      </c>
      <c r="D61" s="11" t="s">
        <v>12</v>
      </c>
      <c r="E61" s="12" t="s">
        <v>58</v>
      </c>
      <c r="F61" s="13" t="s">
        <v>84</v>
      </c>
      <c r="G61" s="14">
        <v>675.0</v>
      </c>
      <c r="H61" s="15"/>
    </row>
    <row r="62">
      <c r="A62" s="10">
        <v>208.0</v>
      </c>
      <c r="B62" s="3" t="s">
        <v>11</v>
      </c>
      <c r="C62" s="11">
        <v>1.0</v>
      </c>
      <c r="D62" s="11" t="s">
        <v>12</v>
      </c>
      <c r="E62" s="12" t="s">
        <v>58</v>
      </c>
      <c r="F62" s="13" t="s">
        <v>85</v>
      </c>
      <c r="G62" s="14">
        <v>725.0</v>
      </c>
      <c r="H62" s="15"/>
    </row>
    <row r="63">
      <c r="A63" s="10">
        <v>209.0</v>
      </c>
      <c r="B63" s="3" t="s">
        <v>11</v>
      </c>
      <c r="C63" s="11">
        <v>1.0</v>
      </c>
      <c r="D63" s="11" t="s">
        <v>12</v>
      </c>
      <c r="E63" s="12" t="s">
        <v>58</v>
      </c>
      <c r="F63" s="13" t="s">
        <v>86</v>
      </c>
      <c r="G63" s="14">
        <v>675.0</v>
      </c>
      <c r="H63" s="15"/>
    </row>
    <row r="64">
      <c r="A64" s="10">
        <v>210.0</v>
      </c>
      <c r="B64" s="3" t="s">
        <v>11</v>
      </c>
      <c r="C64" s="11">
        <v>1.0</v>
      </c>
      <c r="D64" s="11" t="s">
        <v>12</v>
      </c>
      <c r="E64" s="12" t="s">
        <v>58</v>
      </c>
      <c r="F64" s="13" t="s">
        <v>87</v>
      </c>
      <c r="G64" s="14">
        <v>370.16</v>
      </c>
      <c r="H64" s="15"/>
    </row>
    <row r="65">
      <c r="A65" s="10">
        <v>211.0</v>
      </c>
      <c r="B65" s="3" t="s">
        <v>11</v>
      </c>
      <c r="C65" s="11">
        <v>1.0</v>
      </c>
      <c r="D65" s="11" t="s">
        <v>12</v>
      </c>
      <c r="E65" s="12" t="s">
        <v>58</v>
      </c>
      <c r="F65" s="13" t="s">
        <v>88</v>
      </c>
      <c r="G65" s="14">
        <v>675.0</v>
      </c>
      <c r="H65" s="15"/>
    </row>
    <row r="66">
      <c r="A66" s="10">
        <v>212.0</v>
      </c>
      <c r="B66" s="3" t="s">
        <v>11</v>
      </c>
      <c r="C66" s="11">
        <v>1.0</v>
      </c>
      <c r="D66" s="11" t="s">
        <v>12</v>
      </c>
      <c r="E66" s="12" t="s">
        <v>58</v>
      </c>
      <c r="F66" s="13" t="s">
        <v>89</v>
      </c>
      <c r="G66" s="14">
        <v>675.0</v>
      </c>
      <c r="H66" s="15"/>
    </row>
    <row r="67">
      <c r="A67" s="10">
        <v>213.0</v>
      </c>
      <c r="B67" s="3" t="s">
        <v>11</v>
      </c>
      <c r="C67" s="11">
        <v>1.0</v>
      </c>
      <c r="D67" s="11" t="s">
        <v>12</v>
      </c>
      <c r="E67" s="12" t="s">
        <v>58</v>
      </c>
      <c r="F67" s="13" t="s">
        <v>90</v>
      </c>
      <c r="G67" s="14">
        <v>675.0</v>
      </c>
      <c r="H67" s="15"/>
    </row>
    <row r="68">
      <c r="A68" s="10">
        <v>214.0</v>
      </c>
      <c r="B68" s="3" t="s">
        <v>11</v>
      </c>
      <c r="C68" s="11">
        <v>1.0</v>
      </c>
      <c r="D68" s="11" t="s">
        <v>12</v>
      </c>
      <c r="E68" s="12" t="s">
        <v>58</v>
      </c>
      <c r="F68" s="13" t="s">
        <v>91</v>
      </c>
      <c r="G68" s="14">
        <v>655.0</v>
      </c>
      <c r="H68" s="15"/>
    </row>
    <row r="69">
      <c r="A69" s="10">
        <v>215.0</v>
      </c>
      <c r="B69" s="3" t="s">
        <v>11</v>
      </c>
      <c r="C69" s="11">
        <v>1.0</v>
      </c>
      <c r="D69" s="11" t="s">
        <v>12</v>
      </c>
      <c r="E69" s="12" t="s">
        <v>58</v>
      </c>
      <c r="F69" s="13" t="s">
        <v>92</v>
      </c>
      <c r="G69" s="14">
        <v>655.0</v>
      </c>
      <c r="H69" s="15"/>
    </row>
    <row r="70">
      <c r="A70" s="10">
        <v>216.0</v>
      </c>
      <c r="B70" s="3" t="s">
        <v>11</v>
      </c>
      <c r="C70" s="11">
        <v>1.0</v>
      </c>
      <c r="D70" s="11" t="s">
        <v>12</v>
      </c>
      <c r="E70" s="12" t="s">
        <v>58</v>
      </c>
      <c r="F70" s="13" t="s">
        <v>93</v>
      </c>
      <c r="G70" s="14">
        <v>675.0</v>
      </c>
      <c r="H70" s="15"/>
    </row>
    <row r="71">
      <c r="A71" s="10">
        <v>217.0</v>
      </c>
      <c r="B71" s="3" t="s">
        <v>11</v>
      </c>
      <c r="C71" s="11">
        <v>1.0</v>
      </c>
      <c r="D71" s="11" t="s">
        <v>12</v>
      </c>
      <c r="E71" s="12" t="s">
        <v>58</v>
      </c>
      <c r="F71" s="13" t="s">
        <v>94</v>
      </c>
      <c r="G71" s="14">
        <v>675.0</v>
      </c>
      <c r="H71" s="15"/>
    </row>
    <row r="72">
      <c r="A72" s="10">
        <v>218.0</v>
      </c>
      <c r="B72" s="3" t="s">
        <v>11</v>
      </c>
      <c r="C72" s="11">
        <v>1.0</v>
      </c>
      <c r="D72" s="11" t="s">
        <v>12</v>
      </c>
      <c r="E72" s="12" t="s">
        <v>58</v>
      </c>
      <c r="F72" s="13" t="s">
        <v>95</v>
      </c>
      <c r="G72" s="14">
        <v>695.0</v>
      </c>
      <c r="H72" s="15"/>
    </row>
    <row r="73">
      <c r="A73" s="10">
        <v>219.0</v>
      </c>
      <c r="B73" s="3" t="s">
        <v>11</v>
      </c>
      <c r="C73" s="11">
        <v>1.0</v>
      </c>
      <c r="D73" s="11" t="s">
        <v>12</v>
      </c>
      <c r="E73" s="12" t="s">
        <v>58</v>
      </c>
      <c r="F73" s="13" t="s">
        <v>96</v>
      </c>
      <c r="G73" s="14">
        <v>675.0</v>
      </c>
      <c r="H73" s="15"/>
    </row>
    <row r="74">
      <c r="A74" s="10">
        <v>220.0</v>
      </c>
      <c r="B74" s="3" t="s">
        <v>11</v>
      </c>
      <c r="C74" s="11">
        <v>1.0</v>
      </c>
      <c r="D74" s="11" t="s">
        <v>12</v>
      </c>
      <c r="E74" s="12" t="s">
        <v>58</v>
      </c>
      <c r="F74" s="13" t="s">
        <v>97</v>
      </c>
      <c r="G74" s="14">
        <v>650.0</v>
      </c>
      <c r="H74" s="15"/>
    </row>
    <row r="75">
      <c r="A75" s="10">
        <v>221.0</v>
      </c>
      <c r="B75" s="3" t="s">
        <v>11</v>
      </c>
      <c r="C75" s="11">
        <v>1.0</v>
      </c>
      <c r="D75" s="11" t="s">
        <v>12</v>
      </c>
      <c r="E75" s="12" t="s">
        <v>58</v>
      </c>
      <c r="F75" s="13" t="s">
        <v>98</v>
      </c>
      <c r="G75" s="14">
        <v>675.0</v>
      </c>
      <c r="H75" s="15"/>
    </row>
    <row r="76">
      <c r="A76" s="10">
        <v>222.0</v>
      </c>
      <c r="B76" s="3" t="s">
        <v>11</v>
      </c>
      <c r="C76" s="11">
        <v>1.0</v>
      </c>
      <c r="D76" s="11" t="s">
        <v>12</v>
      </c>
      <c r="E76" s="12" t="s">
        <v>58</v>
      </c>
      <c r="F76" s="13" t="s">
        <v>99</v>
      </c>
      <c r="G76" s="14">
        <v>675.0</v>
      </c>
      <c r="H76" s="15"/>
    </row>
    <row r="77">
      <c r="A77" s="10">
        <v>239.0</v>
      </c>
      <c r="B77" s="3" t="s">
        <v>11</v>
      </c>
      <c r="C77" s="11">
        <v>1.0</v>
      </c>
      <c r="D77" s="11" t="s">
        <v>12</v>
      </c>
      <c r="E77" s="16" t="s">
        <v>100</v>
      </c>
      <c r="F77" s="13" t="s">
        <v>101</v>
      </c>
      <c r="G77" s="14">
        <v>-69.75</v>
      </c>
      <c r="H77" s="15"/>
    </row>
    <row r="78">
      <c r="A78" s="10">
        <v>240.0</v>
      </c>
      <c r="B78" s="3" t="s">
        <v>11</v>
      </c>
      <c r="C78" s="11">
        <v>1.0</v>
      </c>
      <c r="D78" s="11" t="s">
        <v>12</v>
      </c>
      <c r="E78" s="16" t="s">
        <v>100</v>
      </c>
      <c r="F78" s="13" t="s">
        <v>102</v>
      </c>
      <c r="G78" s="14">
        <v>-115.61</v>
      </c>
      <c r="H78" s="15"/>
    </row>
    <row r="79">
      <c r="A79" s="10">
        <v>241.0</v>
      </c>
      <c r="B79" s="3" t="s">
        <v>11</v>
      </c>
      <c r="C79" s="11">
        <v>1.0</v>
      </c>
      <c r="D79" s="11" t="s">
        <v>12</v>
      </c>
      <c r="E79" s="16" t="s">
        <v>100</v>
      </c>
      <c r="F79" s="13" t="s">
        <v>103</v>
      </c>
      <c r="G79" s="14">
        <v>-40.26</v>
      </c>
      <c r="H79" s="15"/>
    </row>
    <row r="80">
      <c r="A80" s="10">
        <v>242.0</v>
      </c>
      <c r="B80" s="3" t="s">
        <v>11</v>
      </c>
      <c r="C80" s="11">
        <v>1.0</v>
      </c>
      <c r="D80" s="11" t="s">
        <v>12</v>
      </c>
      <c r="E80" s="16" t="s">
        <v>100</v>
      </c>
      <c r="F80" s="13" t="s">
        <v>104</v>
      </c>
      <c r="G80" s="14">
        <v>-42.03</v>
      </c>
      <c r="H80" s="15"/>
    </row>
    <row r="81">
      <c r="A81" s="10">
        <v>243.0</v>
      </c>
      <c r="B81" s="3" t="s">
        <v>11</v>
      </c>
      <c r="C81" s="11">
        <v>1.0</v>
      </c>
      <c r="D81" s="11" t="s">
        <v>12</v>
      </c>
      <c r="E81" s="16" t="s">
        <v>100</v>
      </c>
      <c r="F81" s="13" t="s">
        <v>105</v>
      </c>
      <c r="G81" s="14">
        <v>-25.25</v>
      </c>
      <c r="H81" s="15"/>
    </row>
    <row r="82">
      <c r="A82" s="10">
        <v>244.0</v>
      </c>
      <c r="B82" s="3" t="s">
        <v>11</v>
      </c>
      <c r="C82" s="11">
        <v>1.0</v>
      </c>
      <c r="D82" s="11" t="s">
        <v>12</v>
      </c>
      <c r="E82" s="16" t="s">
        <v>100</v>
      </c>
      <c r="F82" s="13" t="s">
        <v>106</v>
      </c>
      <c r="G82" s="14">
        <v>0.0</v>
      </c>
      <c r="H82" s="15"/>
    </row>
    <row r="83">
      <c r="A83" s="10">
        <v>245.0</v>
      </c>
      <c r="B83" s="3" t="s">
        <v>11</v>
      </c>
      <c r="C83" s="11">
        <v>1.0</v>
      </c>
      <c r="D83" s="11" t="s">
        <v>12</v>
      </c>
      <c r="E83" s="16" t="s">
        <v>100</v>
      </c>
      <c r="F83" s="13" t="s">
        <v>107</v>
      </c>
      <c r="G83" s="14">
        <v>0.0</v>
      </c>
      <c r="H83" s="15"/>
    </row>
    <row r="84">
      <c r="A84" s="10">
        <v>246.0</v>
      </c>
      <c r="B84" s="3" t="s">
        <v>11</v>
      </c>
      <c r="C84" s="11">
        <v>1.0</v>
      </c>
      <c r="D84" s="11" t="s">
        <v>12</v>
      </c>
      <c r="E84" s="16" t="s">
        <v>100</v>
      </c>
      <c r="F84" s="13" t="s">
        <v>108</v>
      </c>
      <c r="G84" s="14">
        <v>0.0</v>
      </c>
      <c r="H84" s="15"/>
    </row>
    <row r="85">
      <c r="A85" s="10">
        <v>247.0</v>
      </c>
      <c r="B85" s="3" t="s">
        <v>11</v>
      </c>
      <c r="C85" s="11">
        <v>1.0</v>
      </c>
      <c r="D85" s="11" t="s">
        <v>12</v>
      </c>
      <c r="E85" s="16" t="s">
        <v>100</v>
      </c>
      <c r="F85" s="13" t="s">
        <v>109</v>
      </c>
      <c r="G85" s="14">
        <v>-14.489999999999998</v>
      </c>
      <c r="H85" s="15"/>
    </row>
    <row r="86">
      <c r="A86" s="10">
        <v>248.0</v>
      </c>
      <c r="B86" s="3" t="s">
        <v>11</v>
      </c>
      <c r="C86" s="11">
        <v>1.0</v>
      </c>
      <c r="D86" s="11" t="s">
        <v>12</v>
      </c>
      <c r="E86" s="16" t="s">
        <v>100</v>
      </c>
      <c r="F86" s="13" t="s">
        <v>110</v>
      </c>
      <c r="G86" s="14">
        <v>-128.6</v>
      </c>
      <c r="H86" s="15"/>
    </row>
    <row r="87">
      <c r="A87" s="10">
        <v>249.0</v>
      </c>
      <c r="B87" s="3" t="s">
        <v>11</v>
      </c>
      <c r="C87" s="11">
        <v>1.0</v>
      </c>
      <c r="D87" s="11" t="s">
        <v>12</v>
      </c>
      <c r="E87" s="16" t="s">
        <v>100</v>
      </c>
      <c r="F87" s="13" t="s">
        <v>111</v>
      </c>
      <c r="G87" s="14">
        <v>-123.85</v>
      </c>
      <c r="H87" s="15"/>
    </row>
    <row r="88">
      <c r="A88" s="10">
        <v>250.0</v>
      </c>
      <c r="B88" s="3" t="s">
        <v>11</v>
      </c>
      <c r="C88" s="11">
        <v>1.0</v>
      </c>
      <c r="D88" s="11" t="s">
        <v>12</v>
      </c>
      <c r="E88" s="16" t="s">
        <v>100</v>
      </c>
      <c r="F88" s="13" t="s">
        <v>112</v>
      </c>
      <c r="G88" s="14">
        <v>-82.68</v>
      </c>
      <c r="H88" s="15"/>
    </row>
    <row r="89">
      <c r="A89" s="10">
        <v>227.0</v>
      </c>
      <c r="B89" s="3" t="s">
        <v>11</v>
      </c>
      <c r="C89" s="11">
        <v>1.0</v>
      </c>
      <c r="D89" s="11" t="s">
        <v>12</v>
      </c>
      <c r="E89" s="12" t="s">
        <v>113</v>
      </c>
      <c r="F89" s="13" t="s">
        <v>113</v>
      </c>
      <c r="G89" s="14">
        <v>-100.0</v>
      </c>
      <c r="H89" s="15"/>
    </row>
    <row r="90">
      <c r="A90" s="10">
        <v>265.0</v>
      </c>
      <c r="B90" s="3" t="s">
        <v>11</v>
      </c>
      <c r="C90" s="11">
        <v>1.0</v>
      </c>
      <c r="D90" s="11" t="s">
        <v>12</v>
      </c>
      <c r="E90" s="12" t="s">
        <v>114</v>
      </c>
      <c r="F90" s="13" t="s">
        <v>115</v>
      </c>
      <c r="G90" s="14">
        <v>-14.95</v>
      </c>
      <c r="H90" s="15"/>
    </row>
    <row r="91">
      <c r="A91" s="10">
        <v>266.0</v>
      </c>
      <c r="B91" s="3" t="s">
        <v>11</v>
      </c>
      <c r="C91" s="11">
        <v>1.0</v>
      </c>
      <c r="D91" s="11" t="s">
        <v>12</v>
      </c>
      <c r="E91" s="12" t="s">
        <v>114</v>
      </c>
      <c r="F91" s="13" t="s">
        <v>116</v>
      </c>
      <c r="G91" s="14">
        <v>-15.0</v>
      </c>
      <c r="H91" s="15"/>
    </row>
    <row r="92">
      <c r="A92" s="10">
        <v>267.0</v>
      </c>
      <c r="B92" s="3" t="s">
        <v>11</v>
      </c>
      <c r="C92" s="11">
        <v>1.0</v>
      </c>
      <c r="D92" s="11" t="s">
        <v>12</v>
      </c>
      <c r="E92" s="12" t="s">
        <v>114</v>
      </c>
      <c r="F92" s="13" t="s">
        <v>117</v>
      </c>
      <c r="G92" s="14">
        <v>-15.0</v>
      </c>
      <c r="H92" s="15"/>
    </row>
    <row r="93">
      <c r="A93" s="10">
        <v>268.0</v>
      </c>
      <c r="B93" s="3" t="s">
        <v>11</v>
      </c>
      <c r="C93" s="11">
        <v>1.0</v>
      </c>
      <c r="D93" s="11" t="s">
        <v>12</v>
      </c>
      <c r="E93" s="12" t="s">
        <v>114</v>
      </c>
      <c r="F93" s="13" t="s">
        <v>118</v>
      </c>
      <c r="G93" s="14">
        <v>-15.0</v>
      </c>
      <c r="H93" s="15"/>
    </row>
    <row r="94">
      <c r="A94" s="10">
        <v>269.0</v>
      </c>
      <c r="B94" s="3" t="s">
        <v>11</v>
      </c>
      <c r="C94" s="11">
        <v>1.0</v>
      </c>
      <c r="D94" s="11" t="s">
        <v>12</v>
      </c>
      <c r="E94" s="12" t="s">
        <v>114</v>
      </c>
      <c r="F94" s="13" t="s">
        <v>119</v>
      </c>
      <c r="G94" s="14">
        <v>-15.0</v>
      </c>
      <c r="H94" s="15"/>
    </row>
    <row r="95">
      <c r="A95" s="10">
        <v>270.0</v>
      </c>
      <c r="B95" s="3" t="s">
        <v>11</v>
      </c>
      <c r="C95" s="11">
        <v>1.0</v>
      </c>
      <c r="D95" s="11" t="s">
        <v>12</v>
      </c>
      <c r="E95" s="12" t="s">
        <v>114</v>
      </c>
      <c r="F95" s="13" t="s">
        <v>120</v>
      </c>
      <c r="G95" s="14">
        <v>-14.12</v>
      </c>
      <c r="H95" s="15"/>
    </row>
    <row r="96">
      <c r="A96" s="10">
        <v>271.0</v>
      </c>
      <c r="B96" s="3" t="s">
        <v>11</v>
      </c>
      <c r="C96" s="11">
        <v>1.0</v>
      </c>
      <c r="D96" s="11" t="s">
        <v>12</v>
      </c>
      <c r="E96" s="12" t="s">
        <v>114</v>
      </c>
      <c r="F96" s="13" t="s">
        <v>121</v>
      </c>
      <c r="G96" s="14">
        <v>-14.12</v>
      </c>
      <c r="H96" s="15"/>
    </row>
    <row r="97">
      <c r="A97" s="10">
        <v>272.0</v>
      </c>
      <c r="B97" s="3" t="s">
        <v>11</v>
      </c>
      <c r="C97" s="11">
        <v>1.0</v>
      </c>
      <c r="D97" s="11" t="s">
        <v>12</v>
      </c>
      <c r="E97" s="12" t="s">
        <v>114</v>
      </c>
      <c r="F97" s="13" t="s">
        <v>122</v>
      </c>
      <c r="G97" s="14">
        <v>-14.56</v>
      </c>
      <c r="H97" s="15"/>
    </row>
    <row r="98">
      <c r="A98" s="10">
        <v>273.0</v>
      </c>
      <c r="B98" s="3" t="s">
        <v>11</v>
      </c>
      <c r="C98" s="11">
        <v>1.0</v>
      </c>
      <c r="D98" s="11" t="s">
        <v>12</v>
      </c>
      <c r="E98" s="12" t="s">
        <v>114</v>
      </c>
      <c r="F98" s="13" t="s">
        <v>123</v>
      </c>
      <c r="G98" s="14">
        <v>-14.95</v>
      </c>
      <c r="H98" s="15"/>
    </row>
    <row r="99">
      <c r="A99" s="10">
        <v>274.0</v>
      </c>
      <c r="B99" s="3" t="s">
        <v>11</v>
      </c>
      <c r="C99" s="11">
        <v>1.0</v>
      </c>
      <c r="D99" s="11" t="s">
        <v>12</v>
      </c>
      <c r="E99" s="12" t="s">
        <v>114</v>
      </c>
      <c r="F99" s="13" t="s">
        <v>124</v>
      </c>
      <c r="G99" s="14">
        <v>-14.95</v>
      </c>
      <c r="H99" s="15"/>
    </row>
    <row r="100">
      <c r="A100" s="10">
        <v>275.0</v>
      </c>
      <c r="B100" s="3" t="s">
        <v>11</v>
      </c>
      <c r="C100" s="11">
        <v>1.0</v>
      </c>
      <c r="D100" s="11" t="s">
        <v>12</v>
      </c>
      <c r="E100" s="12" t="s">
        <v>114</v>
      </c>
      <c r="F100" s="13" t="s">
        <v>125</v>
      </c>
      <c r="G100" s="14">
        <v>-14.95</v>
      </c>
      <c r="H100" s="15"/>
    </row>
    <row r="101">
      <c r="A101" s="10">
        <v>281.0</v>
      </c>
      <c r="B101" s="3" t="s">
        <v>11</v>
      </c>
      <c r="C101" s="11">
        <v>2.0</v>
      </c>
      <c r="D101" s="11" t="s">
        <v>12</v>
      </c>
      <c r="E101" s="12" t="s">
        <v>126</v>
      </c>
      <c r="F101" s="13" t="s">
        <v>127</v>
      </c>
      <c r="G101" s="21">
        <v>-153.0</v>
      </c>
      <c r="H101" s="15"/>
    </row>
    <row r="102">
      <c r="A102" s="10">
        <v>282.0</v>
      </c>
      <c r="B102" s="3" t="s">
        <v>11</v>
      </c>
      <c r="C102" s="11">
        <v>2.0</v>
      </c>
      <c r="D102" s="11" t="s">
        <v>12</v>
      </c>
      <c r="E102" s="12" t="s">
        <v>126</v>
      </c>
      <c r="F102" s="13" t="s">
        <v>128</v>
      </c>
      <c r="G102" s="21">
        <v>-177.0</v>
      </c>
      <c r="H102" s="15"/>
    </row>
    <row r="103">
      <c r="A103" s="10">
        <v>283.0</v>
      </c>
      <c r="B103" s="3" t="s">
        <v>11</v>
      </c>
      <c r="C103" s="11">
        <v>2.0</v>
      </c>
      <c r="D103" s="11" t="s">
        <v>12</v>
      </c>
      <c r="E103" s="12" t="s">
        <v>126</v>
      </c>
      <c r="F103" s="13" t="s">
        <v>129</v>
      </c>
      <c r="G103" s="21">
        <v>-393.0</v>
      </c>
      <c r="H103" s="15"/>
    </row>
    <row r="104">
      <c r="A104" s="10">
        <v>284.0</v>
      </c>
      <c r="B104" s="3" t="s">
        <v>11</v>
      </c>
      <c r="C104" s="11">
        <v>2.0</v>
      </c>
      <c r="D104" s="11" t="s">
        <v>12</v>
      </c>
      <c r="E104" s="12" t="s">
        <v>126</v>
      </c>
      <c r="F104" s="13" t="s">
        <v>130</v>
      </c>
      <c r="G104" s="21">
        <v>-175.0</v>
      </c>
      <c r="H104" s="15"/>
    </row>
    <row r="105">
      <c r="A105" s="10">
        <v>285.0</v>
      </c>
      <c r="B105" s="3" t="s">
        <v>11</v>
      </c>
      <c r="C105" s="11">
        <v>2.0</v>
      </c>
      <c r="D105" s="11" t="s">
        <v>12</v>
      </c>
      <c r="E105" s="12" t="s">
        <v>126</v>
      </c>
      <c r="F105" s="13" t="s">
        <v>131</v>
      </c>
      <c r="G105" s="21">
        <v>-196.0</v>
      </c>
      <c r="H105" s="15"/>
    </row>
    <row r="106">
      <c r="A106" s="10">
        <v>286.0</v>
      </c>
      <c r="B106" s="3" t="s">
        <v>11</v>
      </c>
      <c r="C106" s="11">
        <v>2.0</v>
      </c>
      <c r="D106" s="11" t="s">
        <v>12</v>
      </c>
      <c r="E106" s="12" t="s">
        <v>126</v>
      </c>
      <c r="F106" s="13" t="s">
        <v>132</v>
      </c>
      <c r="G106" s="21">
        <v>-175.0</v>
      </c>
      <c r="H106" s="15"/>
    </row>
    <row r="107">
      <c r="A107" s="10">
        <v>287.0</v>
      </c>
      <c r="B107" s="3" t="s">
        <v>11</v>
      </c>
      <c r="C107" s="11">
        <v>2.0</v>
      </c>
      <c r="D107" s="11" t="s">
        <v>12</v>
      </c>
      <c r="E107" s="12" t="s">
        <v>133</v>
      </c>
      <c r="F107" s="13" t="s">
        <v>134</v>
      </c>
      <c r="G107" s="14">
        <v>-30.82</v>
      </c>
      <c r="H107" s="15"/>
    </row>
    <row r="108">
      <c r="A108" s="10">
        <v>288.0</v>
      </c>
      <c r="B108" s="3" t="s">
        <v>11</v>
      </c>
      <c r="C108" s="11">
        <v>2.0</v>
      </c>
      <c r="D108" s="11" t="s">
        <v>12</v>
      </c>
      <c r="E108" s="12" t="s">
        <v>133</v>
      </c>
      <c r="F108" s="13" t="s">
        <v>135</v>
      </c>
      <c r="G108" s="14">
        <v>-15.76</v>
      </c>
      <c r="H108" s="15"/>
    </row>
    <row r="109">
      <c r="A109" s="10">
        <v>289.0</v>
      </c>
      <c r="B109" s="3" t="s">
        <v>11</v>
      </c>
      <c r="C109" s="11">
        <v>2.0</v>
      </c>
      <c r="D109" s="11" t="s">
        <v>12</v>
      </c>
      <c r="E109" s="12" t="s">
        <v>136</v>
      </c>
      <c r="F109" s="13" t="s">
        <v>136</v>
      </c>
      <c r="G109" s="14">
        <v>-22.96</v>
      </c>
      <c r="H109" s="15"/>
    </row>
    <row r="110">
      <c r="A110" s="10">
        <v>290.0</v>
      </c>
      <c r="B110" s="3" t="s">
        <v>11</v>
      </c>
      <c r="C110" s="11">
        <v>3.0</v>
      </c>
      <c r="D110" s="11" t="s">
        <v>12</v>
      </c>
      <c r="E110" s="16" t="s">
        <v>137</v>
      </c>
      <c r="F110" s="13" t="s">
        <v>138</v>
      </c>
      <c r="G110" s="14">
        <v>-1161.92</v>
      </c>
      <c r="H110" s="15"/>
    </row>
    <row r="111">
      <c r="A111" s="10">
        <v>293.0</v>
      </c>
      <c r="B111" s="3" t="s">
        <v>11</v>
      </c>
      <c r="C111" s="11">
        <v>5.0</v>
      </c>
      <c r="D111" s="11" t="s">
        <v>43</v>
      </c>
      <c r="E111" s="16" t="s">
        <v>41</v>
      </c>
      <c r="F111" s="13" t="s">
        <v>139</v>
      </c>
      <c r="G111" s="14">
        <v>-5.99</v>
      </c>
      <c r="H111" s="15"/>
    </row>
    <row r="112">
      <c r="A112" s="10">
        <v>299.0</v>
      </c>
      <c r="B112" s="3" t="s">
        <v>11</v>
      </c>
      <c r="C112" s="11">
        <v>6.0</v>
      </c>
      <c r="D112" s="11" t="s">
        <v>12</v>
      </c>
      <c r="E112" s="12" t="s">
        <v>140</v>
      </c>
      <c r="F112" s="13" t="s">
        <v>141</v>
      </c>
      <c r="G112" s="14">
        <v>-19.68</v>
      </c>
      <c r="H112" s="15"/>
    </row>
    <row r="113">
      <c r="A113" s="10">
        <v>294.0</v>
      </c>
      <c r="B113" s="3" t="s">
        <v>11</v>
      </c>
      <c r="C113" s="11">
        <v>6.0</v>
      </c>
      <c r="D113" s="11" t="s">
        <v>12</v>
      </c>
      <c r="E113" s="12" t="s">
        <v>142</v>
      </c>
      <c r="F113" s="13" t="s">
        <v>143</v>
      </c>
      <c r="G113" s="14">
        <v>-66.22</v>
      </c>
      <c r="H113" s="15"/>
    </row>
    <row r="114">
      <c r="A114" s="10">
        <v>295.0</v>
      </c>
      <c r="B114" s="3" t="s">
        <v>11</v>
      </c>
      <c r="C114" s="11">
        <v>6.0</v>
      </c>
      <c r="D114" s="11" t="s">
        <v>12</v>
      </c>
      <c r="E114" s="12" t="s">
        <v>142</v>
      </c>
      <c r="F114" s="13" t="s">
        <v>144</v>
      </c>
      <c r="G114" s="14">
        <v>-63.4</v>
      </c>
      <c r="H114" s="15"/>
    </row>
    <row r="115">
      <c r="A115" s="10">
        <v>296.0</v>
      </c>
      <c r="B115" s="3" t="s">
        <v>11</v>
      </c>
      <c r="C115" s="11">
        <v>6.0</v>
      </c>
      <c r="D115" s="11" t="s">
        <v>12</v>
      </c>
      <c r="E115" s="12" t="s">
        <v>142</v>
      </c>
      <c r="F115" s="13" t="s">
        <v>145</v>
      </c>
      <c r="G115" s="14">
        <v>-71.54</v>
      </c>
      <c r="H115" s="15"/>
    </row>
    <row r="116">
      <c r="A116" s="10">
        <v>297.0</v>
      </c>
      <c r="B116" s="3" t="s">
        <v>11</v>
      </c>
      <c r="C116" s="11">
        <v>6.0</v>
      </c>
      <c r="D116" s="11" t="s">
        <v>12</v>
      </c>
      <c r="E116" s="12" t="s">
        <v>142</v>
      </c>
      <c r="F116" s="13" t="s">
        <v>146</v>
      </c>
      <c r="G116" s="14">
        <v>-63.4</v>
      </c>
      <c r="H116" s="15"/>
    </row>
    <row r="117">
      <c r="A117" s="10">
        <v>298.0</v>
      </c>
      <c r="B117" s="3" t="s">
        <v>11</v>
      </c>
      <c r="C117" s="11">
        <v>6.0</v>
      </c>
      <c r="D117" s="11" t="s">
        <v>12</v>
      </c>
      <c r="E117" s="12" t="s">
        <v>142</v>
      </c>
      <c r="F117" s="13" t="s">
        <v>147</v>
      </c>
      <c r="G117" s="14">
        <v>-66.22</v>
      </c>
      <c r="H117" s="15"/>
    </row>
    <row r="118">
      <c r="A118" s="10">
        <v>307.0</v>
      </c>
      <c r="B118" s="3" t="s">
        <v>11</v>
      </c>
      <c r="C118" s="11">
        <v>6.0</v>
      </c>
      <c r="D118" s="11" t="s">
        <v>12</v>
      </c>
      <c r="E118" s="12" t="s">
        <v>148</v>
      </c>
      <c r="F118" s="13" t="s">
        <v>149</v>
      </c>
      <c r="G118" s="14">
        <v>-476.54</v>
      </c>
      <c r="H118" s="15"/>
    </row>
    <row r="119">
      <c r="A119" s="10">
        <v>308.0</v>
      </c>
      <c r="B119" s="3" t="s">
        <v>11</v>
      </c>
      <c r="C119" s="11">
        <v>6.0</v>
      </c>
      <c r="D119" s="11" t="s">
        <v>12</v>
      </c>
      <c r="E119" s="16" t="s">
        <v>150</v>
      </c>
      <c r="F119" s="13" t="s">
        <v>151</v>
      </c>
      <c r="G119" s="14">
        <v>-29.99</v>
      </c>
      <c r="H119" s="15"/>
    </row>
    <row r="120">
      <c r="A120" s="10">
        <v>312.0</v>
      </c>
      <c r="B120" s="3" t="s">
        <v>11</v>
      </c>
      <c r="C120" s="11">
        <v>9.0</v>
      </c>
      <c r="D120" s="11" t="s">
        <v>12</v>
      </c>
      <c r="E120" s="12" t="s">
        <v>152</v>
      </c>
      <c r="F120" s="13" t="s">
        <v>152</v>
      </c>
      <c r="G120" s="14">
        <v>-32.27</v>
      </c>
      <c r="H120" s="15"/>
    </row>
    <row r="121">
      <c r="A121" s="10">
        <v>313.0</v>
      </c>
      <c r="B121" s="3" t="s">
        <v>11</v>
      </c>
      <c r="C121" s="11">
        <v>10.0</v>
      </c>
      <c r="D121" s="11" t="s">
        <v>12</v>
      </c>
      <c r="E121" s="12" t="s">
        <v>153</v>
      </c>
      <c r="F121" s="13" t="s">
        <v>154</v>
      </c>
      <c r="G121" s="14">
        <v>-656.12</v>
      </c>
      <c r="H121" s="15"/>
    </row>
    <row r="122">
      <c r="A122" s="10">
        <v>316.0</v>
      </c>
      <c r="B122" s="3" t="s">
        <v>11</v>
      </c>
      <c r="C122" s="11">
        <v>15.0</v>
      </c>
      <c r="D122" s="11" t="s">
        <v>12</v>
      </c>
      <c r="E122" s="16" t="s">
        <v>41</v>
      </c>
      <c r="F122" s="13" t="s">
        <v>155</v>
      </c>
      <c r="G122" s="14">
        <v>-5.99</v>
      </c>
      <c r="H122" s="15"/>
    </row>
    <row r="123">
      <c r="A123" s="10">
        <v>317.0</v>
      </c>
      <c r="B123" s="3" t="s">
        <v>11</v>
      </c>
      <c r="C123" s="11">
        <v>16.0</v>
      </c>
      <c r="D123" s="11" t="s">
        <v>12</v>
      </c>
      <c r="E123" s="16" t="s">
        <v>156</v>
      </c>
      <c r="F123" s="13" t="s">
        <v>157</v>
      </c>
      <c r="G123" s="14">
        <v>-37.31</v>
      </c>
      <c r="H123" s="15"/>
    </row>
    <row r="124">
      <c r="A124" s="10">
        <v>318.0</v>
      </c>
      <c r="B124" s="3" t="s">
        <v>11</v>
      </c>
      <c r="C124" s="11">
        <v>17.0</v>
      </c>
      <c r="D124" s="11" t="s">
        <v>12</v>
      </c>
      <c r="E124" s="16" t="s">
        <v>158</v>
      </c>
      <c r="F124" s="13" t="s">
        <v>158</v>
      </c>
      <c r="G124" s="14">
        <v>-22.44</v>
      </c>
      <c r="H124" s="15"/>
    </row>
    <row r="125">
      <c r="A125" s="10">
        <v>319.0</v>
      </c>
      <c r="B125" s="3" t="s">
        <v>11</v>
      </c>
      <c r="C125" s="11">
        <v>17.0</v>
      </c>
      <c r="D125" s="11" t="s">
        <v>12</v>
      </c>
      <c r="E125" s="12" t="s">
        <v>159</v>
      </c>
      <c r="F125" s="13" t="s">
        <v>159</v>
      </c>
      <c r="G125" s="14">
        <v>-96.9</v>
      </c>
      <c r="H125" s="15"/>
    </row>
    <row r="126">
      <c r="A126" s="10">
        <v>320.0</v>
      </c>
      <c r="B126" s="3" t="s">
        <v>11</v>
      </c>
      <c r="C126" s="11">
        <v>18.0</v>
      </c>
      <c r="D126" s="11" t="s">
        <v>12</v>
      </c>
      <c r="E126" s="12" t="s">
        <v>148</v>
      </c>
      <c r="F126" s="13" t="s">
        <v>160</v>
      </c>
      <c r="G126" s="14">
        <v>-12.5</v>
      </c>
      <c r="H126" s="15"/>
    </row>
    <row r="127">
      <c r="A127" s="10">
        <v>321.0</v>
      </c>
      <c r="B127" s="3" t="s">
        <v>11</v>
      </c>
      <c r="C127" s="11">
        <v>19.0</v>
      </c>
      <c r="D127" s="11" t="s">
        <v>12</v>
      </c>
      <c r="E127" s="16" t="s">
        <v>150</v>
      </c>
      <c r="F127" s="13" t="s">
        <v>161</v>
      </c>
      <c r="G127" s="21">
        <v>-32.23</v>
      </c>
      <c r="H127" s="15"/>
    </row>
    <row r="128">
      <c r="A128" s="10">
        <v>322.0</v>
      </c>
      <c r="B128" s="3" t="s">
        <v>11</v>
      </c>
      <c r="C128" s="11">
        <v>19.0</v>
      </c>
      <c r="D128" s="11" t="s">
        <v>12</v>
      </c>
      <c r="E128" s="16" t="s">
        <v>150</v>
      </c>
      <c r="F128" s="13" t="s">
        <v>162</v>
      </c>
      <c r="G128" s="14">
        <v>-38.68</v>
      </c>
      <c r="H128" s="15"/>
    </row>
    <row r="129">
      <c r="A129" s="10">
        <v>326.0</v>
      </c>
      <c r="B129" s="3" t="s">
        <v>11</v>
      </c>
      <c r="C129" s="11">
        <v>20.0</v>
      </c>
      <c r="D129" s="11" t="s">
        <v>12</v>
      </c>
      <c r="E129" s="16" t="s">
        <v>41</v>
      </c>
      <c r="F129" s="13" t="s">
        <v>163</v>
      </c>
      <c r="G129" s="14">
        <v>-5.99</v>
      </c>
      <c r="H129" s="15"/>
    </row>
    <row r="130">
      <c r="A130" s="10">
        <v>327.0</v>
      </c>
      <c r="B130" s="3" t="s">
        <v>11</v>
      </c>
      <c r="C130" s="11">
        <v>21.0</v>
      </c>
      <c r="D130" s="11" t="s">
        <v>12</v>
      </c>
      <c r="E130" s="16" t="s">
        <v>164</v>
      </c>
      <c r="F130" s="13" t="s">
        <v>165</v>
      </c>
      <c r="G130" s="14">
        <v>-27.0</v>
      </c>
      <c r="H130" s="15"/>
    </row>
    <row r="131">
      <c r="A131" s="10">
        <v>328.0</v>
      </c>
      <c r="B131" s="3" t="s">
        <v>11</v>
      </c>
      <c r="C131" s="11">
        <v>23.0</v>
      </c>
      <c r="D131" s="11" t="s">
        <v>12</v>
      </c>
      <c r="E131" s="16" t="s">
        <v>166</v>
      </c>
      <c r="F131" s="13" t="s">
        <v>167</v>
      </c>
      <c r="G131" s="14">
        <v>-16.8</v>
      </c>
      <c r="H131" s="15"/>
    </row>
    <row r="132">
      <c r="A132" s="10">
        <v>329.0</v>
      </c>
      <c r="B132" s="3" t="s">
        <v>11</v>
      </c>
      <c r="C132" s="11">
        <v>23.0</v>
      </c>
      <c r="D132" s="11" t="s">
        <v>12</v>
      </c>
      <c r="E132" s="12" t="s">
        <v>168</v>
      </c>
      <c r="F132" s="13" t="s">
        <v>168</v>
      </c>
      <c r="G132" s="14">
        <v>-295.0</v>
      </c>
      <c r="H132" s="15"/>
    </row>
    <row r="133">
      <c r="A133" s="10">
        <v>337.0</v>
      </c>
      <c r="B133" s="3" t="s">
        <v>11</v>
      </c>
      <c r="C133" s="11">
        <v>26.0</v>
      </c>
      <c r="D133" s="11" t="s">
        <v>12</v>
      </c>
      <c r="E133" s="12" t="s">
        <v>169</v>
      </c>
      <c r="F133" s="13" t="s">
        <v>169</v>
      </c>
      <c r="G133" s="14">
        <v>-115.0</v>
      </c>
      <c r="H133" s="15"/>
    </row>
    <row r="134">
      <c r="A134" s="10">
        <v>338.0</v>
      </c>
      <c r="B134" s="3" t="s">
        <v>11</v>
      </c>
      <c r="C134" s="11">
        <v>27.0</v>
      </c>
      <c r="D134" s="11" t="s">
        <v>12</v>
      </c>
      <c r="E134" s="12" t="s">
        <v>170</v>
      </c>
      <c r="F134" s="13" t="s">
        <v>171</v>
      </c>
      <c r="G134" s="14">
        <v>-1902.59</v>
      </c>
      <c r="H134" s="15"/>
    </row>
    <row r="135">
      <c r="A135" s="10">
        <v>339.0</v>
      </c>
      <c r="B135" s="3" t="s">
        <v>11</v>
      </c>
      <c r="C135" s="11">
        <v>28.0</v>
      </c>
      <c r="D135" s="11" t="s">
        <v>12</v>
      </c>
      <c r="E135" s="12" t="s">
        <v>153</v>
      </c>
      <c r="F135" s="13" t="s">
        <v>172</v>
      </c>
      <c r="G135" s="14">
        <v>-826.93</v>
      </c>
      <c r="H135" s="15"/>
    </row>
    <row r="136">
      <c r="A136" s="10">
        <v>341.0</v>
      </c>
      <c r="B136" s="3" t="s">
        <v>11</v>
      </c>
      <c r="C136" s="11">
        <v>28.0</v>
      </c>
      <c r="D136" s="11" t="s">
        <v>12</v>
      </c>
      <c r="E136" s="12" t="s">
        <v>153</v>
      </c>
      <c r="F136" s="13" t="s">
        <v>173</v>
      </c>
      <c r="G136" s="14">
        <v>-2475.36</v>
      </c>
      <c r="H136" s="15"/>
    </row>
    <row r="137">
      <c r="A137" s="10">
        <v>340.0</v>
      </c>
      <c r="B137" s="3" t="s">
        <v>11</v>
      </c>
      <c r="C137" s="11">
        <v>28.0</v>
      </c>
      <c r="D137" s="11" t="s">
        <v>12</v>
      </c>
      <c r="E137" s="12" t="s">
        <v>148</v>
      </c>
      <c r="F137" s="13" t="s">
        <v>174</v>
      </c>
      <c r="G137" s="14">
        <v>300.0</v>
      </c>
      <c r="H137" s="15"/>
    </row>
    <row r="138">
      <c r="A138" s="10">
        <v>344.0</v>
      </c>
      <c r="B138" s="3" t="s">
        <v>11</v>
      </c>
      <c r="C138" s="11">
        <v>29.0</v>
      </c>
      <c r="D138" s="11" t="s">
        <v>12</v>
      </c>
      <c r="E138" s="12" t="s">
        <v>140</v>
      </c>
      <c r="F138" s="13" t="s">
        <v>175</v>
      </c>
      <c r="G138" s="14">
        <v>-61.5</v>
      </c>
      <c r="H138" s="15"/>
    </row>
    <row r="139">
      <c r="A139" s="10">
        <v>345.0</v>
      </c>
      <c r="B139" s="3" t="s">
        <v>11</v>
      </c>
      <c r="C139" s="11">
        <v>29.0</v>
      </c>
      <c r="D139" s="11" t="s">
        <v>12</v>
      </c>
      <c r="E139" s="12" t="s">
        <v>148</v>
      </c>
      <c r="F139" s="13" t="s">
        <v>176</v>
      </c>
      <c r="G139" s="14">
        <v>1.72</v>
      </c>
      <c r="H139" s="15"/>
    </row>
    <row r="140">
      <c r="A140" s="10">
        <v>346.0</v>
      </c>
      <c r="B140" s="3" t="s">
        <v>11</v>
      </c>
      <c r="C140" s="11">
        <v>31.0</v>
      </c>
      <c r="D140" s="11" t="s">
        <v>12</v>
      </c>
      <c r="E140" s="12" t="s">
        <v>170</v>
      </c>
      <c r="F140" s="13" t="s">
        <v>177</v>
      </c>
      <c r="G140" s="14">
        <v>-1027.36</v>
      </c>
      <c r="H140" s="15"/>
    </row>
    <row r="141">
      <c r="A141" s="10">
        <v>173.0</v>
      </c>
      <c r="B141" s="3" t="s">
        <v>11</v>
      </c>
      <c r="C141" s="22" t="s">
        <v>178</v>
      </c>
      <c r="D141" s="11" t="s">
        <v>12</v>
      </c>
      <c r="E141" s="12" t="s">
        <v>179</v>
      </c>
      <c r="F141" s="13" t="s">
        <v>180</v>
      </c>
      <c r="G141" s="14">
        <v>-91.16</v>
      </c>
      <c r="H141" s="15"/>
    </row>
    <row r="142">
      <c r="A142" s="10">
        <v>174.0</v>
      </c>
      <c r="B142" s="3" t="s">
        <v>11</v>
      </c>
      <c r="C142" s="23" t="s">
        <v>178</v>
      </c>
      <c r="D142" s="3" t="s">
        <v>12</v>
      </c>
      <c r="E142" s="16" t="s">
        <v>16</v>
      </c>
      <c r="F142" s="19" t="s">
        <v>181</v>
      </c>
      <c r="G142" s="14">
        <v>-206.25</v>
      </c>
      <c r="H142" s="15"/>
    </row>
    <row r="143">
      <c r="A143" s="10">
        <v>176.0</v>
      </c>
      <c r="B143" s="3" t="s">
        <v>11</v>
      </c>
      <c r="C143" s="23" t="s">
        <v>178</v>
      </c>
      <c r="D143" s="3" t="s">
        <v>12</v>
      </c>
      <c r="E143" s="16" t="s">
        <v>182</v>
      </c>
      <c r="F143" s="19" t="s">
        <v>183</v>
      </c>
      <c r="G143" s="14">
        <v>-380.0</v>
      </c>
      <c r="H143" s="15"/>
    </row>
    <row r="144">
      <c r="A144" s="10">
        <v>172.0</v>
      </c>
      <c r="B144" s="3" t="s">
        <v>11</v>
      </c>
      <c r="C144" s="22" t="s">
        <v>178</v>
      </c>
      <c r="D144" s="11" t="s">
        <v>12</v>
      </c>
      <c r="E144" s="12" t="s">
        <v>184</v>
      </c>
      <c r="F144" s="13" t="s">
        <v>185</v>
      </c>
      <c r="G144" s="14">
        <v>507.6100000000001</v>
      </c>
      <c r="H144" s="15"/>
    </row>
    <row r="145">
      <c r="A145" s="10">
        <v>177.0</v>
      </c>
      <c r="B145" s="3" t="s">
        <v>11</v>
      </c>
      <c r="C145" s="23" t="s">
        <v>178</v>
      </c>
      <c r="D145" s="3" t="s">
        <v>12</v>
      </c>
      <c r="E145" s="12" t="s">
        <v>186</v>
      </c>
      <c r="F145" s="19" t="s">
        <v>187</v>
      </c>
      <c r="G145" s="14">
        <v>-5033.9</v>
      </c>
      <c r="H145" s="15"/>
    </row>
    <row r="146">
      <c r="A146" s="10">
        <v>314.0</v>
      </c>
      <c r="B146" s="3" t="s">
        <v>11</v>
      </c>
      <c r="C146" s="22" t="s">
        <v>178</v>
      </c>
      <c r="D146" s="11" t="s">
        <v>12</v>
      </c>
      <c r="E146" s="16" t="s">
        <v>188</v>
      </c>
      <c r="F146" s="13" t="s">
        <v>189</v>
      </c>
      <c r="G146" s="14">
        <v>-1657.4</v>
      </c>
      <c r="H146" s="15"/>
    </row>
    <row r="147">
      <c r="A147" s="10">
        <v>179.0</v>
      </c>
      <c r="B147" s="3" t="s">
        <v>11</v>
      </c>
      <c r="C147" s="23" t="s">
        <v>178</v>
      </c>
      <c r="D147" s="3" t="s">
        <v>12</v>
      </c>
      <c r="E147" s="12" t="s">
        <v>190</v>
      </c>
      <c r="F147" s="19" t="s">
        <v>191</v>
      </c>
      <c r="G147" s="14">
        <v>-31500.0</v>
      </c>
      <c r="H147" s="15"/>
    </row>
    <row r="148">
      <c r="A148" s="10">
        <v>169.0</v>
      </c>
      <c r="B148" s="3" t="s">
        <v>11</v>
      </c>
      <c r="C148" s="22" t="s">
        <v>178</v>
      </c>
      <c r="D148" s="11" t="s">
        <v>192</v>
      </c>
      <c r="E148" s="12" t="s">
        <v>193</v>
      </c>
      <c r="F148" s="13" t="s">
        <v>194</v>
      </c>
      <c r="G148" s="14">
        <v>33619.8</v>
      </c>
      <c r="H148" s="15"/>
    </row>
    <row r="149">
      <c r="A149" s="10">
        <v>342.0</v>
      </c>
      <c r="B149" s="3" t="s">
        <v>11</v>
      </c>
      <c r="C149" s="22" t="s">
        <v>178</v>
      </c>
      <c r="D149" s="11" t="s">
        <v>12</v>
      </c>
      <c r="E149" s="16" t="s">
        <v>195</v>
      </c>
      <c r="F149" s="13" t="s">
        <v>196</v>
      </c>
      <c r="G149" s="14">
        <v>-534.0</v>
      </c>
      <c r="H149" s="15"/>
    </row>
    <row r="150">
      <c r="A150" s="10">
        <v>170.0</v>
      </c>
      <c r="B150" s="3" t="s">
        <v>11</v>
      </c>
      <c r="C150" s="22" t="s">
        <v>178</v>
      </c>
      <c r="D150" s="11" t="s">
        <v>12</v>
      </c>
      <c r="E150" s="12" t="s">
        <v>58</v>
      </c>
      <c r="F150" s="13" t="s">
        <v>197</v>
      </c>
      <c r="G150" s="14">
        <v>-1500.0</v>
      </c>
      <c r="H150" s="15"/>
    </row>
    <row r="151">
      <c r="A151" s="10">
        <v>175.0</v>
      </c>
      <c r="B151" s="3" t="s">
        <v>11</v>
      </c>
      <c r="C151" s="23" t="s">
        <v>178</v>
      </c>
      <c r="D151" s="3" t="s">
        <v>43</v>
      </c>
      <c r="E151" s="12" t="s">
        <v>198</v>
      </c>
      <c r="F151" s="19" t="s">
        <v>199</v>
      </c>
      <c r="G151" s="14">
        <v>-19.0</v>
      </c>
      <c r="H151" s="15"/>
    </row>
    <row r="152">
      <c r="A152" s="10">
        <v>171.0</v>
      </c>
      <c r="B152" s="3" t="s">
        <v>11</v>
      </c>
      <c r="C152" s="22" t="s">
        <v>178</v>
      </c>
      <c r="D152" s="11" t="s">
        <v>43</v>
      </c>
      <c r="E152" s="16" t="s">
        <v>200</v>
      </c>
      <c r="F152" s="13" t="s">
        <v>201</v>
      </c>
      <c r="G152" s="14">
        <v>-53.849999999999994</v>
      </c>
      <c r="H152" s="15"/>
    </row>
    <row r="153">
      <c r="A153" s="10">
        <v>178.0</v>
      </c>
      <c r="B153" s="3" t="s">
        <v>11</v>
      </c>
      <c r="C153" s="23" t="s">
        <v>178</v>
      </c>
      <c r="D153" s="3" t="s">
        <v>192</v>
      </c>
      <c r="E153" s="12" t="s">
        <v>202</v>
      </c>
      <c r="F153" s="19" t="s">
        <v>203</v>
      </c>
      <c r="G153" s="14">
        <v>0.0</v>
      </c>
      <c r="H153" s="15"/>
    </row>
    <row r="154">
      <c r="A154" s="10">
        <v>355.0</v>
      </c>
      <c r="B154" s="3" t="s">
        <v>11</v>
      </c>
      <c r="C154" s="22" t="s">
        <v>178</v>
      </c>
      <c r="D154" s="11" t="s">
        <v>192</v>
      </c>
      <c r="E154" s="24" t="s">
        <v>204</v>
      </c>
      <c r="F154" s="13" t="s">
        <v>205</v>
      </c>
      <c r="G154" s="20">
        <v>3314.720000000005</v>
      </c>
      <c r="H154" s="15"/>
    </row>
    <row r="155">
      <c r="A155" s="10">
        <v>109.0</v>
      </c>
      <c r="B155" s="10" t="s">
        <v>148</v>
      </c>
      <c r="C155" s="25">
        <v>45931.0</v>
      </c>
      <c r="D155" s="26"/>
      <c r="E155" s="16" t="s">
        <v>13</v>
      </c>
      <c r="F155" s="27" t="s">
        <v>206</v>
      </c>
      <c r="G155" s="28">
        <v>75.2</v>
      </c>
      <c r="H155" s="29">
        <v>34091.37</v>
      </c>
    </row>
    <row r="156">
      <c r="A156" s="10">
        <v>123.0</v>
      </c>
      <c r="B156" s="10" t="s">
        <v>148</v>
      </c>
      <c r="C156" s="25">
        <v>45931.0</v>
      </c>
      <c r="D156" s="26"/>
      <c r="E156" s="12" t="s">
        <v>13</v>
      </c>
      <c r="F156" s="27" t="s">
        <v>207</v>
      </c>
      <c r="G156" s="28">
        <v>103.08</v>
      </c>
      <c r="H156" s="29">
        <v>34131.23</v>
      </c>
    </row>
    <row r="157">
      <c r="A157" s="10">
        <v>96.0</v>
      </c>
      <c r="B157" s="10" t="s">
        <v>148</v>
      </c>
      <c r="C157" s="25">
        <v>45931.0</v>
      </c>
      <c r="D157" s="26"/>
      <c r="E157" s="16" t="s">
        <v>16</v>
      </c>
      <c r="F157" s="27" t="s">
        <v>208</v>
      </c>
      <c r="G157" s="28">
        <v>55.0</v>
      </c>
      <c r="H157" s="29">
        <v>40242.95</v>
      </c>
    </row>
    <row r="158">
      <c r="A158" s="10">
        <v>157.0</v>
      </c>
      <c r="B158" s="10" t="s">
        <v>148</v>
      </c>
      <c r="C158" s="25">
        <v>45931.0</v>
      </c>
      <c r="D158" s="26"/>
      <c r="E158" s="16" t="s">
        <v>16</v>
      </c>
      <c r="F158" s="27" t="s">
        <v>209</v>
      </c>
      <c r="G158" s="28">
        <v>988.41</v>
      </c>
      <c r="H158" s="29">
        <v>33269.03</v>
      </c>
    </row>
    <row r="159">
      <c r="A159" s="10">
        <v>125.0</v>
      </c>
      <c r="B159" s="10" t="s">
        <v>148</v>
      </c>
      <c r="C159" s="25">
        <v>45931.0</v>
      </c>
      <c r="D159" s="26"/>
      <c r="E159" s="17" t="s">
        <v>30</v>
      </c>
      <c r="F159" s="27" t="s">
        <v>210</v>
      </c>
      <c r="G159" s="28">
        <v>9.5</v>
      </c>
      <c r="H159" s="29">
        <v>33559.31</v>
      </c>
    </row>
    <row r="160">
      <c r="A160" s="10">
        <v>132.0</v>
      </c>
      <c r="B160" s="10" t="s">
        <v>148</v>
      </c>
      <c r="C160" s="25">
        <v>45931.0</v>
      </c>
      <c r="D160" s="26"/>
      <c r="E160" s="17" t="s">
        <v>30</v>
      </c>
      <c r="F160" s="27" t="s">
        <v>211</v>
      </c>
      <c r="G160" s="28">
        <v>13.81</v>
      </c>
      <c r="H160" s="29">
        <v>33970.43</v>
      </c>
    </row>
    <row r="161">
      <c r="A161" s="10">
        <v>89.0</v>
      </c>
      <c r="B161" s="10" t="s">
        <v>148</v>
      </c>
      <c r="C161" s="25">
        <v>45931.0</v>
      </c>
      <c r="D161" s="26"/>
      <c r="E161" s="16" t="s">
        <v>184</v>
      </c>
      <c r="F161" s="27" t="s">
        <v>212</v>
      </c>
      <c r="G161" s="28">
        <v>-600.0</v>
      </c>
      <c r="H161" s="29">
        <v>44281.96</v>
      </c>
    </row>
    <row r="162">
      <c r="A162" s="10">
        <v>146.0</v>
      </c>
      <c r="B162" s="10" t="s">
        <v>148</v>
      </c>
      <c r="C162" s="25">
        <v>45931.0</v>
      </c>
      <c r="D162" s="26"/>
      <c r="E162" s="16" t="s">
        <v>33</v>
      </c>
      <c r="F162" s="27" t="s">
        <v>213</v>
      </c>
      <c r="G162" s="28">
        <v>111.3</v>
      </c>
      <c r="H162" s="29">
        <v>33203.59</v>
      </c>
    </row>
    <row r="163">
      <c r="A163" s="10">
        <v>150.0</v>
      </c>
      <c r="B163" s="10" t="s">
        <v>148</v>
      </c>
      <c r="C163" s="25">
        <v>45931.0</v>
      </c>
      <c r="D163" s="26"/>
      <c r="E163" s="16" t="s">
        <v>33</v>
      </c>
      <c r="F163" s="27" t="s">
        <v>214</v>
      </c>
      <c r="G163" s="28">
        <v>106.17</v>
      </c>
      <c r="H163" s="29">
        <v>32669.79</v>
      </c>
    </row>
    <row r="164">
      <c r="A164" s="10">
        <v>151.0</v>
      </c>
      <c r="B164" s="10" t="s">
        <v>148</v>
      </c>
      <c r="C164" s="25">
        <v>45931.0</v>
      </c>
      <c r="D164" s="26"/>
      <c r="E164" s="16" t="s">
        <v>33</v>
      </c>
      <c r="F164" s="27" t="s">
        <v>215</v>
      </c>
      <c r="G164" s="28">
        <v>99.32</v>
      </c>
      <c r="H164" s="29">
        <v>32775.96</v>
      </c>
    </row>
    <row r="165">
      <c r="A165" s="10">
        <v>154.0</v>
      </c>
      <c r="B165" s="10" t="s">
        <v>148</v>
      </c>
      <c r="C165" s="25">
        <v>45931.0</v>
      </c>
      <c r="D165" s="26"/>
      <c r="E165" s="16" t="s">
        <v>37</v>
      </c>
      <c r="F165" s="27" t="s">
        <v>216</v>
      </c>
      <c r="G165" s="28">
        <v>31.19</v>
      </c>
      <c r="H165" s="29">
        <v>32905.18</v>
      </c>
    </row>
    <row r="166">
      <c r="A166" s="10">
        <v>134.0</v>
      </c>
      <c r="B166" s="10" t="s">
        <v>148</v>
      </c>
      <c r="C166" s="25">
        <v>45931.0</v>
      </c>
      <c r="D166" s="26"/>
      <c r="E166" s="12" t="s">
        <v>39</v>
      </c>
      <c r="F166" s="27" t="s">
        <v>217</v>
      </c>
      <c r="G166" s="28">
        <v>1045.02</v>
      </c>
      <c r="H166" s="29">
        <v>33259.24</v>
      </c>
    </row>
    <row r="167">
      <c r="A167" s="10">
        <v>92.0</v>
      </c>
      <c r="B167" s="10" t="s">
        <v>148</v>
      </c>
      <c r="C167" s="25">
        <v>45931.0</v>
      </c>
      <c r="D167" s="26"/>
      <c r="E167" s="16" t="s">
        <v>41</v>
      </c>
      <c r="F167" s="27" t="s">
        <v>218</v>
      </c>
      <c r="G167" s="28">
        <v>5.99</v>
      </c>
      <c r="H167" s="29">
        <v>42311.96</v>
      </c>
    </row>
    <row r="168">
      <c r="A168" s="10">
        <v>111.0</v>
      </c>
      <c r="B168" s="10" t="s">
        <v>148</v>
      </c>
      <c r="C168" s="25">
        <v>45931.0</v>
      </c>
      <c r="D168" s="26"/>
      <c r="E168" s="12" t="s">
        <v>45</v>
      </c>
      <c r="F168" s="27" t="s">
        <v>219</v>
      </c>
      <c r="G168" s="28">
        <v>389.08</v>
      </c>
      <c r="H168" s="29">
        <v>33516.57</v>
      </c>
    </row>
    <row r="169">
      <c r="A169" s="10">
        <v>112.0</v>
      </c>
      <c r="B169" s="10" t="s">
        <v>148</v>
      </c>
      <c r="C169" s="25">
        <v>45931.0</v>
      </c>
      <c r="D169" s="26"/>
      <c r="E169" s="12" t="s">
        <v>45</v>
      </c>
      <c r="F169" s="27" t="s">
        <v>220</v>
      </c>
      <c r="G169" s="28">
        <v>289.09</v>
      </c>
      <c r="H169" s="29">
        <v>33905.65</v>
      </c>
    </row>
    <row r="170">
      <c r="A170" s="10">
        <v>113.0</v>
      </c>
      <c r="B170" s="10" t="s">
        <v>148</v>
      </c>
      <c r="C170" s="25">
        <v>45931.0</v>
      </c>
      <c r="D170" s="26"/>
      <c r="E170" s="12" t="s">
        <v>45</v>
      </c>
      <c r="F170" s="27" t="s">
        <v>221</v>
      </c>
      <c r="G170" s="28">
        <v>361.96</v>
      </c>
      <c r="H170" s="29">
        <v>34194.74</v>
      </c>
    </row>
    <row r="171">
      <c r="A171" s="10">
        <v>114.0</v>
      </c>
      <c r="B171" s="10" t="s">
        <v>148</v>
      </c>
      <c r="C171" s="25">
        <v>45931.0</v>
      </c>
      <c r="D171" s="26"/>
      <c r="E171" s="12" t="s">
        <v>45</v>
      </c>
      <c r="F171" s="27" t="s">
        <v>222</v>
      </c>
      <c r="G171" s="28">
        <v>228.34</v>
      </c>
      <c r="H171" s="29">
        <v>34556.7</v>
      </c>
    </row>
    <row r="172">
      <c r="A172" s="10">
        <v>116.0</v>
      </c>
      <c r="B172" s="10" t="s">
        <v>148</v>
      </c>
      <c r="C172" s="25">
        <v>45931.0</v>
      </c>
      <c r="D172" s="26"/>
      <c r="E172" s="12" t="s">
        <v>45</v>
      </c>
      <c r="F172" s="27" t="s">
        <v>223</v>
      </c>
      <c r="G172" s="28">
        <v>26.8</v>
      </c>
      <c r="H172" s="29">
        <v>34110.04</v>
      </c>
    </row>
    <row r="173">
      <c r="A173" s="10">
        <v>118.0</v>
      </c>
      <c r="B173" s="10" t="s">
        <v>148</v>
      </c>
      <c r="C173" s="25">
        <v>45931.0</v>
      </c>
      <c r="D173" s="26"/>
      <c r="E173" s="12" t="s">
        <v>45</v>
      </c>
      <c r="F173" s="27" t="s">
        <v>224</v>
      </c>
      <c r="G173" s="28">
        <v>126.96</v>
      </c>
      <c r="H173" s="29">
        <v>33461.84</v>
      </c>
    </row>
    <row r="174">
      <c r="A174" s="10">
        <v>119.0</v>
      </c>
      <c r="B174" s="10" t="s">
        <v>148</v>
      </c>
      <c r="C174" s="25">
        <v>45931.0</v>
      </c>
      <c r="D174" s="26"/>
      <c r="E174" s="12" t="s">
        <v>45</v>
      </c>
      <c r="F174" s="27" t="s">
        <v>225</v>
      </c>
      <c r="G174" s="28">
        <v>57.54</v>
      </c>
      <c r="H174" s="29">
        <v>33588.8</v>
      </c>
    </row>
    <row r="175">
      <c r="A175" s="10">
        <v>120.0</v>
      </c>
      <c r="B175" s="10" t="s">
        <v>148</v>
      </c>
      <c r="C175" s="25">
        <v>45931.0</v>
      </c>
      <c r="D175" s="26"/>
      <c r="E175" s="12" t="s">
        <v>45</v>
      </c>
      <c r="F175" s="27" t="s">
        <v>226</v>
      </c>
      <c r="G175" s="28">
        <v>132.5</v>
      </c>
      <c r="H175" s="29">
        <v>33646.34</v>
      </c>
    </row>
    <row r="176">
      <c r="A176" s="10">
        <v>121.0</v>
      </c>
      <c r="B176" s="10" t="s">
        <v>148</v>
      </c>
      <c r="C176" s="25">
        <v>45931.0</v>
      </c>
      <c r="D176" s="26"/>
      <c r="E176" s="12" t="s">
        <v>45</v>
      </c>
      <c r="F176" s="27" t="s">
        <v>227</v>
      </c>
      <c r="G176" s="28">
        <v>280.0</v>
      </c>
      <c r="H176" s="29">
        <v>33778.84</v>
      </c>
    </row>
    <row r="177">
      <c r="A177" s="10">
        <v>122.0</v>
      </c>
      <c r="B177" s="10" t="s">
        <v>148</v>
      </c>
      <c r="C177" s="25">
        <v>45931.0</v>
      </c>
      <c r="D177" s="26"/>
      <c r="E177" s="12" t="s">
        <v>45</v>
      </c>
      <c r="F177" s="27" t="s">
        <v>228</v>
      </c>
      <c r="G177" s="28">
        <v>72.39</v>
      </c>
      <c r="H177" s="29">
        <v>34058.84</v>
      </c>
    </row>
    <row r="178">
      <c r="A178" s="10">
        <v>156.0</v>
      </c>
      <c r="B178" s="10" t="s">
        <v>148</v>
      </c>
      <c r="C178" s="25">
        <v>45931.0</v>
      </c>
      <c r="D178" s="26"/>
      <c r="E178" s="16" t="s">
        <v>56</v>
      </c>
      <c r="F178" s="27" t="s">
        <v>229</v>
      </c>
      <c r="G178" s="28">
        <v>317.66</v>
      </c>
      <c r="H178" s="29">
        <v>32951.37</v>
      </c>
    </row>
    <row r="179">
      <c r="A179" s="10">
        <v>97.0</v>
      </c>
      <c r="B179" s="10" t="s">
        <v>148</v>
      </c>
      <c r="C179" s="25">
        <v>45931.0</v>
      </c>
      <c r="D179" s="26"/>
      <c r="E179" s="16" t="s">
        <v>58</v>
      </c>
      <c r="F179" s="27" t="s">
        <v>230</v>
      </c>
      <c r="G179" s="28">
        <v>-283.06</v>
      </c>
      <c r="H179" s="29">
        <v>40297.95</v>
      </c>
    </row>
    <row r="180">
      <c r="A180" s="10">
        <v>88.0</v>
      </c>
      <c r="B180" s="10" t="s">
        <v>148</v>
      </c>
      <c r="C180" s="25">
        <v>45931.0</v>
      </c>
      <c r="D180" s="26"/>
      <c r="E180" s="16" t="s">
        <v>58</v>
      </c>
      <c r="F180" s="27" t="s">
        <v>231</v>
      </c>
      <c r="G180" s="28">
        <v>-406.45</v>
      </c>
      <c r="H180" s="29">
        <v>44688.41</v>
      </c>
    </row>
    <row r="181">
      <c r="A181" s="10">
        <v>104.0</v>
      </c>
      <c r="B181" s="10" t="s">
        <v>148</v>
      </c>
      <c r="C181" s="25">
        <v>45931.0</v>
      </c>
      <c r="D181" s="26"/>
      <c r="E181" s="16" t="s">
        <v>58</v>
      </c>
      <c r="F181" s="27" t="s">
        <v>232</v>
      </c>
      <c r="G181" s="28">
        <v>-650.0</v>
      </c>
      <c r="H181" s="29">
        <v>37371.37</v>
      </c>
    </row>
    <row r="182">
      <c r="A182" s="10">
        <v>105.0</v>
      </c>
      <c r="B182" s="10" t="s">
        <v>148</v>
      </c>
      <c r="C182" s="25">
        <v>45931.0</v>
      </c>
      <c r="D182" s="26"/>
      <c r="E182" s="16" t="s">
        <v>58</v>
      </c>
      <c r="F182" s="27" t="s">
        <v>233</v>
      </c>
      <c r="G182" s="28">
        <v>-650.0</v>
      </c>
      <c r="H182" s="29">
        <v>36721.37</v>
      </c>
    </row>
    <row r="183">
      <c r="A183" s="10">
        <v>107.0</v>
      </c>
      <c r="B183" s="10" t="s">
        <v>148</v>
      </c>
      <c r="C183" s="25">
        <v>45931.0</v>
      </c>
      <c r="D183" s="26"/>
      <c r="E183" s="16" t="s">
        <v>58</v>
      </c>
      <c r="F183" s="27" t="s">
        <v>234</v>
      </c>
      <c r="G183" s="28">
        <v>-650.0</v>
      </c>
      <c r="H183" s="29">
        <v>35416.37</v>
      </c>
    </row>
    <row r="184">
      <c r="A184" s="10">
        <v>110.0</v>
      </c>
      <c r="B184" s="10" t="s">
        <v>148</v>
      </c>
      <c r="C184" s="25">
        <v>45931.0</v>
      </c>
      <c r="D184" s="26"/>
      <c r="E184" s="16" t="s">
        <v>58</v>
      </c>
      <c r="F184" s="27" t="s">
        <v>235</v>
      </c>
      <c r="G184" s="28">
        <v>-650.0</v>
      </c>
      <c r="H184" s="29">
        <v>34166.57</v>
      </c>
    </row>
    <row r="185">
      <c r="A185" s="10">
        <v>103.0</v>
      </c>
      <c r="B185" s="10" t="s">
        <v>148</v>
      </c>
      <c r="C185" s="25">
        <v>45931.0</v>
      </c>
      <c r="D185" s="26"/>
      <c r="E185" s="16" t="s">
        <v>58</v>
      </c>
      <c r="F185" s="27" t="s">
        <v>236</v>
      </c>
      <c r="G185" s="28">
        <v>-655.0</v>
      </c>
      <c r="H185" s="29">
        <v>38026.37</v>
      </c>
    </row>
    <row r="186">
      <c r="A186" s="10">
        <v>106.0</v>
      </c>
      <c r="B186" s="10" t="s">
        <v>148</v>
      </c>
      <c r="C186" s="25">
        <v>45931.0</v>
      </c>
      <c r="D186" s="26"/>
      <c r="E186" s="16" t="s">
        <v>58</v>
      </c>
      <c r="F186" s="27" t="s">
        <v>237</v>
      </c>
      <c r="G186" s="28">
        <v>-655.0</v>
      </c>
      <c r="H186" s="29">
        <v>36071.37</v>
      </c>
    </row>
    <row r="187">
      <c r="A187" s="10">
        <v>90.0</v>
      </c>
      <c r="B187" s="10" t="s">
        <v>148</v>
      </c>
      <c r="C187" s="25">
        <v>45931.0</v>
      </c>
      <c r="D187" s="26"/>
      <c r="E187" s="16" t="s">
        <v>58</v>
      </c>
      <c r="F187" s="27" t="s">
        <v>238</v>
      </c>
      <c r="G187" s="28">
        <v>-675.0</v>
      </c>
      <c r="H187" s="29">
        <v>43681.96</v>
      </c>
    </row>
    <row r="188">
      <c r="A188" s="10">
        <v>93.0</v>
      </c>
      <c r="B188" s="10" t="s">
        <v>148</v>
      </c>
      <c r="C188" s="25">
        <v>45931.0</v>
      </c>
      <c r="D188" s="26"/>
      <c r="E188" s="16" t="s">
        <v>58</v>
      </c>
      <c r="F188" s="27" t="s">
        <v>239</v>
      </c>
      <c r="G188" s="28">
        <v>-675.0</v>
      </c>
      <c r="H188" s="29">
        <v>42317.95</v>
      </c>
    </row>
    <row r="189">
      <c r="A189" s="10">
        <v>94.0</v>
      </c>
      <c r="B189" s="10" t="s">
        <v>148</v>
      </c>
      <c r="C189" s="25">
        <v>45931.0</v>
      </c>
      <c r="D189" s="26"/>
      <c r="E189" s="16" t="s">
        <v>58</v>
      </c>
      <c r="F189" s="27" t="s">
        <v>240</v>
      </c>
      <c r="G189" s="28">
        <v>-675.0</v>
      </c>
      <c r="H189" s="29">
        <v>41642.95</v>
      </c>
    </row>
    <row r="190">
      <c r="A190" s="10">
        <v>98.0</v>
      </c>
      <c r="B190" s="10" t="s">
        <v>148</v>
      </c>
      <c r="C190" s="25">
        <v>45931.0</v>
      </c>
      <c r="D190" s="26"/>
      <c r="E190" s="16" t="s">
        <v>58</v>
      </c>
      <c r="F190" s="27" t="s">
        <v>241</v>
      </c>
      <c r="G190" s="28">
        <v>-675.0</v>
      </c>
      <c r="H190" s="29">
        <v>40014.89</v>
      </c>
    </row>
    <row r="191">
      <c r="A191" s="10">
        <v>102.0</v>
      </c>
      <c r="B191" s="10" t="s">
        <v>148</v>
      </c>
      <c r="C191" s="25">
        <v>45931.0</v>
      </c>
      <c r="D191" s="26"/>
      <c r="E191" s="16" t="s">
        <v>58</v>
      </c>
      <c r="F191" s="27" t="s">
        <v>242</v>
      </c>
      <c r="G191" s="28">
        <v>-675.0</v>
      </c>
      <c r="H191" s="29">
        <v>38701.37</v>
      </c>
    </row>
    <row r="192">
      <c r="A192" s="10">
        <v>108.0</v>
      </c>
      <c r="B192" s="10" t="s">
        <v>148</v>
      </c>
      <c r="C192" s="25">
        <v>45931.0</v>
      </c>
      <c r="D192" s="26"/>
      <c r="E192" s="16" t="s">
        <v>58</v>
      </c>
      <c r="F192" s="27" t="s">
        <v>243</v>
      </c>
      <c r="G192" s="28">
        <v>-675.0</v>
      </c>
      <c r="H192" s="29">
        <v>34766.37</v>
      </c>
    </row>
    <row r="193">
      <c r="A193" s="10">
        <v>115.0</v>
      </c>
      <c r="B193" s="10" t="s">
        <v>148</v>
      </c>
      <c r="C193" s="25">
        <v>45931.0</v>
      </c>
      <c r="D193" s="26"/>
      <c r="E193" s="16" t="s">
        <v>58</v>
      </c>
      <c r="F193" s="27" t="s">
        <v>244</v>
      </c>
      <c r="G193" s="28">
        <v>-675.0</v>
      </c>
      <c r="H193" s="29">
        <v>34785.04</v>
      </c>
    </row>
    <row r="194">
      <c r="A194" s="10">
        <v>117.0</v>
      </c>
      <c r="B194" s="10" t="s">
        <v>148</v>
      </c>
      <c r="C194" s="25">
        <v>45931.0</v>
      </c>
      <c r="D194" s="26"/>
      <c r="E194" s="16" t="s">
        <v>58</v>
      </c>
      <c r="F194" s="27" t="s">
        <v>245</v>
      </c>
      <c r="G194" s="28">
        <v>-675.0</v>
      </c>
      <c r="H194" s="29">
        <v>34136.84</v>
      </c>
    </row>
    <row r="195">
      <c r="A195" s="10">
        <v>124.0</v>
      </c>
      <c r="B195" s="10" t="s">
        <v>148</v>
      </c>
      <c r="C195" s="25">
        <v>45931.0</v>
      </c>
      <c r="D195" s="26"/>
      <c r="E195" s="16" t="s">
        <v>58</v>
      </c>
      <c r="F195" s="27" t="s">
        <v>246</v>
      </c>
      <c r="G195" s="28">
        <v>-675.0</v>
      </c>
      <c r="H195" s="29">
        <v>34234.31</v>
      </c>
    </row>
    <row r="196">
      <c r="A196" s="10">
        <v>145.0</v>
      </c>
      <c r="B196" s="10" t="s">
        <v>148</v>
      </c>
      <c r="C196" s="25">
        <v>45931.0</v>
      </c>
      <c r="D196" s="26"/>
      <c r="E196" s="16" t="s">
        <v>58</v>
      </c>
      <c r="F196" s="27" t="s">
        <v>247</v>
      </c>
      <c r="G196" s="28">
        <v>-675.0</v>
      </c>
      <c r="H196" s="29">
        <v>33878.59</v>
      </c>
    </row>
    <row r="197">
      <c r="A197" s="10">
        <v>147.0</v>
      </c>
      <c r="B197" s="10" t="s">
        <v>148</v>
      </c>
      <c r="C197" s="25">
        <v>45931.0</v>
      </c>
      <c r="D197" s="26"/>
      <c r="E197" s="16" t="s">
        <v>58</v>
      </c>
      <c r="F197" s="27" t="s">
        <v>248</v>
      </c>
      <c r="G197" s="28">
        <v>-675.0</v>
      </c>
      <c r="H197" s="29">
        <v>33314.89</v>
      </c>
    </row>
    <row r="198">
      <c r="A198" s="10">
        <v>158.0</v>
      </c>
      <c r="B198" s="10" t="s">
        <v>148</v>
      </c>
      <c r="C198" s="25">
        <v>45931.0</v>
      </c>
      <c r="D198" s="26"/>
      <c r="E198" s="16" t="s">
        <v>58</v>
      </c>
      <c r="F198" s="27" t="s">
        <v>249</v>
      </c>
      <c r="G198" s="28">
        <v>-675.0</v>
      </c>
      <c r="H198" s="29">
        <v>34257.44</v>
      </c>
    </row>
    <row r="199">
      <c r="A199" s="10">
        <v>91.0</v>
      </c>
      <c r="B199" s="10" t="s">
        <v>148</v>
      </c>
      <c r="C199" s="25">
        <v>45931.0</v>
      </c>
      <c r="D199" s="26"/>
      <c r="E199" s="16" t="s">
        <v>58</v>
      </c>
      <c r="F199" s="27" t="s">
        <v>250</v>
      </c>
      <c r="G199" s="28">
        <v>-695.0</v>
      </c>
      <c r="H199" s="29">
        <v>43006.96</v>
      </c>
    </row>
    <row r="200">
      <c r="A200" s="10">
        <v>99.0</v>
      </c>
      <c r="B200" s="10" t="s">
        <v>148</v>
      </c>
      <c r="C200" s="25">
        <v>45931.0</v>
      </c>
      <c r="D200" s="26"/>
      <c r="E200" s="16" t="s">
        <v>58</v>
      </c>
      <c r="F200" s="27" t="s">
        <v>251</v>
      </c>
      <c r="G200" s="28">
        <v>-700.0</v>
      </c>
      <c r="H200" s="29">
        <v>39339.89</v>
      </c>
    </row>
    <row r="201">
      <c r="A201" s="10">
        <v>95.0</v>
      </c>
      <c r="B201" s="10" t="s">
        <v>148</v>
      </c>
      <c r="C201" s="25">
        <v>45931.0</v>
      </c>
      <c r="D201" s="26"/>
      <c r="E201" s="16" t="s">
        <v>58</v>
      </c>
      <c r="F201" s="27" t="s">
        <v>252</v>
      </c>
      <c r="G201" s="28">
        <v>-725.0</v>
      </c>
      <c r="H201" s="29">
        <v>40967.95</v>
      </c>
    </row>
    <row r="202">
      <c r="A202" s="10">
        <v>133.0</v>
      </c>
      <c r="B202" s="10" t="s">
        <v>148</v>
      </c>
      <c r="C202" s="25">
        <v>45931.0</v>
      </c>
      <c r="D202" s="26"/>
      <c r="E202" s="16" t="s">
        <v>58</v>
      </c>
      <c r="F202" s="27" t="s">
        <v>253</v>
      </c>
      <c r="G202" s="28">
        <v>-725.0</v>
      </c>
      <c r="H202" s="29">
        <v>33984.24</v>
      </c>
    </row>
    <row r="203">
      <c r="A203" s="10">
        <v>141.0</v>
      </c>
      <c r="B203" s="10" t="s">
        <v>148</v>
      </c>
      <c r="C203" s="25">
        <v>45931.0</v>
      </c>
      <c r="D203" s="26"/>
      <c r="E203" s="16" t="s">
        <v>58</v>
      </c>
      <c r="F203" s="27" t="s">
        <v>254</v>
      </c>
      <c r="G203" s="28">
        <v>-750.0</v>
      </c>
      <c r="H203" s="29">
        <v>34583.59</v>
      </c>
    </row>
    <row r="204">
      <c r="A204" s="10">
        <v>126.0</v>
      </c>
      <c r="B204" s="10" t="s">
        <v>148</v>
      </c>
      <c r="C204" s="25">
        <v>45931.0</v>
      </c>
      <c r="D204" s="26"/>
      <c r="E204" s="16" t="s">
        <v>100</v>
      </c>
      <c r="F204" s="27" t="s">
        <v>255</v>
      </c>
      <c r="G204" s="28">
        <v>10.12</v>
      </c>
      <c r="H204" s="29">
        <v>33568.81</v>
      </c>
    </row>
    <row r="205">
      <c r="A205" s="10">
        <v>127.0</v>
      </c>
      <c r="B205" s="10" t="s">
        <v>148</v>
      </c>
      <c r="C205" s="25">
        <v>45931.0</v>
      </c>
      <c r="D205" s="26"/>
      <c r="E205" s="16" t="s">
        <v>100</v>
      </c>
      <c r="F205" s="27" t="s">
        <v>256</v>
      </c>
      <c r="G205" s="28">
        <v>40.26</v>
      </c>
      <c r="H205" s="29">
        <v>33578.93</v>
      </c>
    </row>
    <row r="206">
      <c r="A206" s="10">
        <v>128.0</v>
      </c>
      <c r="B206" s="10" t="s">
        <v>148</v>
      </c>
      <c r="C206" s="25">
        <v>45931.0</v>
      </c>
      <c r="D206" s="26"/>
      <c r="E206" s="16" t="s">
        <v>100</v>
      </c>
      <c r="F206" s="27" t="s">
        <v>257</v>
      </c>
      <c r="G206" s="28">
        <v>115.61</v>
      </c>
      <c r="H206" s="29">
        <v>33619.19</v>
      </c>
    </row>
    <row r="207">
      <c r="A207" s="10">
        <v>129.0</v>
      </c>
      <c r="B207" s="10" t="s">
        <v>148</v>
      </c>
      <c r="C207" s="25">
        <v>45931.0</v>
      </c>
      <c r="D207" s="26"/>
      <c r="E207" s="16" t="s">
        <v>100</v>
      </c>
      <c r="F207" s="27" t="s">
        <v>258</v>
      </c>
      <c r="G207" s="28">
        <v>123.85</v>
      </c>
      <c r="H207" s="29">
        <v>33734.8</v>
      </c>
    </row>
    <row r="208">
      <c r="A208" s="10">
        <v>130.0</v>
      </c>
      <c r="B208" s="10" t="s">
        <v>148</v>
      </c>
      <c r="C208" s="25">
        <v>45931.0</v>
      </c>
      <c r="D208" s="26"/>
      <c r="E208" s="16" t="s">
        <v>100</v>
      </c>
      <c r="F208" s="27" t="s">
        <v>259</v>
      </c>
      <c r="G208" s="28">
        <v>69.75</v>
      </c>
      <c r="H208" s="29">
        <v>33858.65</v>
      </c>
    </row>
    <row r="209">
      <c r="A209" s="10">
        <v>131.0</v>
      </c>
      <c r="B209" s="10" t="s">
        <v>148</v>
      </c>
      <c r="C209" s="25">
        <v>45931.0</v>
      </c>
      <c r="D209" s="26"/>
      <c r="E209" s="16" t="s">
        <v>100</v>
      </c>
      <c r="F209" s="27" t="s">
        <v>260</v>
      </c>
      <c r="G209" s="28">
        <v>42.03</v>
      </c>
      <c r="H209" s="29">
        <v>33928.4</v>
      </c>
    </row>
    <row r="210">
      <c r="A210" s="10">
        <v>135.0</v>
      </c>
      <c r="B210" s="10" t="s">
        <v>148</v>
      </c>
      <c r="C210" s="25">
        <v>45931.0</v>
      </c>
      <c r="D210" s="26"/>
      <c r="E210" s="16" t="s">
        <v>100</v>
      </c>
      <c r="F210" s="27" t="s">
        <v>261</v>
      </c>
      <c r="G210" s="28">
        <v>128.6</v>
      </c>
      <c r="H210" s="29">
        <v>34304.26</v>
      </c>
    </row>
    <row r="211">
      <c r="A211" s="10">
        <v>136.0</v>
      </c>
      <c r="B211" s="10" t="s">
        <v>148</v>
      </c>
      <c r="C211" s="25">
        <v>45931.0</v>
      </c>
      <c r="D211" s="26"/>
      <c r="E211" s="16" t="s">
        <v>100</v>
      </c>
      <c r="F211" s="27" t="s">
        <v>262</v>
      </c>
      <c r="G211" s="28">
        <v>25.25</v>
      </c>
      <c r="H211" s="29">
        <v>34432.86</v>
      </c>
    </row>
    <row r="212">
      <c r="A212" s="10">
        <v>137.0</v>
      </c>
      <c r="B212" s="10" t="s">
        <v>148</v>
      </c>
      <c r="C212" s="25">
        <v>45931.0</v>
      </c>
      <c r="D212" s="26"/>
      <c r="E212" s="16" t="s">
        <v>100</v>
      </c>
      <c r="F212" s="27" t="s">
        <v>263</v>
      </c>
      <c r="G212" s="28">
        <v>82.68</v>
      </c>
      <c r="H212" s="29">
        <v>34458.11</v>
      </c>
    </row>
    <row r="213">
      <c r="A213" s="10">
        <v>100.0</v>
      </c>
      <c r="B213" s="10" t="s">
        <v>148</v>
      </c>
      <c r="C213" s="25">
        <v>45931.0</v>
      </c>
      <c r="D213" s="26"/>
      <c r="E213" s="16" t="s">
        <v>113</v>
      </c>
      <c r="F213" s="27" t="s">
        <v>264</v>
      </c>
      <c r="G213" s="28">
        <v>50.0</v>
      </c>
      <c r="H213" s="29">
        <v>38639.89</v>
      </c>
    </row>
    <row r="214">
      <c r="A214" s="10">
        <v>138.0</v>
      </c>
      <c r="B214" s="10" t="s">
        <v>148</v>
      </c>
      <c r="C214" s="25">
        <v>45931.0</v>
      </c>
      <c r="D214" s="26"/>
      <c r="E214" s="16" t="s">
        <v>114</v>
      </c>
      <c r="F214" s="27" t="s">
        <v>265</v>
      </c>
      <c r="G214" s="28">
        <v>14.56</v>
      </c>
      <c r="H214" s="29">
        <v>34540.79</v>
      </c>
    </row>
    <row r="215">
      <c r="A215" s="10">
        <v>139.0</v>
      </c>
      <c r="B215" s="10" t="s">
        <v>148</v>
      </c>
      <c r="C215" s="25">
        <v>45931.0</v>
      </c>
      <c r="D215" s="26"/>
      <c r="E215" s="16" t="s">
        <v>114</v>
      </c>
      <c r="F215" s="27" t="s">
        <v>266</v>
      </c>
      <c r="G215" s="28">
        <v>14.12</v>
      </c>
      <c r="H215" s="29">
        <v>34555.35</v>
      </c>
    </row>
    <row r="216">
      <c r="A216" s="10">
        <v>140.0</v>
      </c>
      <c r="B216" s="10" t="s">
        <v>148</v>
      </c>
      <c r="C216" s="25">
        <v>45931.0</v>
      </c>
      <c r="D216" s="26"/>
      <c r="E216" s="16" t="s">
        <v>114</v>
      </c>
      <c r="F216" s="27" t="s">
        <v>267</v>
      </c>
      <c r="G216" s="28">
        <v>14.12</v>
      </c>
      <c r="H216" s="29">
        <v>34569.47</v>
      </c>
    </row>
    <row r="217">
      <c r="A217" s="10">
        <v>142.0</v>
      </c>
      <c r="B217" s="10" t="s">
        <v>148</v>
      </c>
      <c r="C217" s="25">
        <v>45931.0</v>
      </c>
      <c r="D217" s="26"/>
      <c r="E217" s="16" t="s">
        <v>114</v>
      </c>
      <c r="F217" s="27" t="s">
        <v>268</v>
      </c>
      <c r="G217" s="28">
        <v>15.0</v>
      </c>
      <c r="H217" s="29">
        <v>33833.59</v>
      </c>
    </row>
    <row r="218">
      <c r="A218" s="10">
        <v>143.0</v>
      </c>
      <c r="B218" s="10" t="s">
        <v>148</v>
      </c>
      <c r="C218" s="25">
        <v>45931.0</v>
      </c>
      <c r="D218" s="26"/>
      <c r="E218" s="16" t="s">
        <v>114</v>
      </c>
      <c r="F218" s="27" t="s">
        <v>269</v>
      </c>
      <c r="G218" s="28">
        <v>15.0</v>
      </c>
      <c r="H218" s="29">
        <v>33848.59</v>
      </c>
    </row>
    <row r="219">
      <c r="A219" s="10">
        <v>144.0</v>
      </c>
      <c r="B219" s="10" t="s">
        <v>148</v>
      </c>
      <c r="C219" s="25">
        <v>45931.0</v>
      </c>
      <c r="D219" s="26"/>
      <c r="E219" s="16" t="s">
        <v>114</v>
      </c>
      <c r="F219" s="27" t="s">
        <v>270</v>
      </c>
      <c r="G219" s="28">
        <v>15.0</v>
      </c>
      <c r="H219" s="29">
        <v>33863.59</v>
      </c>
    </row>
    <row r="220">
      <c r="A220" s="10">
        <v>148.0</v>
      </c>
      <c r="B220" s="10" t="s">
        <v>148</v>
      </c>
      <c r="C220" s="25">
        <v>45931.0</v>
      </c>
      <c r="D220" s="26"/>
      <c r="E220" s="16" t="s">
        <v>114</v>
      </c>
      <c r="F220" s="27" t="s">
        <v>271</v>
      </c>
      <c r="G220" s="28">
        <v>14.95</v>
      </c>
      <c r="H220" s="29">
        <v>32639.89</v>
      </c>
    </row>
    <row r="221">
      <c r="A221" s="10">
        <v>149.0</v>
      </c>
      <c r="B221" s="10" t="s">
        <v>148</v>
      </c>
      <c r="C221" s="25">
        <v>45931.0</v>
      </c>
      <c r="D221" s="26"/>
      <c r="E221" s="16" t="s">
        <v>114</v>
      </c>
      <c r="F221" s="27" t="s">
        <v>272</v>
      </c>
      <c r="G221" s="28">
        <v>14.95</v>
      </c>
      <c r="H221" s="29">
        <v>32654.84</v>
      </c>
    </row>
    <row r="222">
      <c r="A222" s="10">
        <v>152.0</v>
      </c>
      <c r="B222" s="10" t="s">
        <v>148</v>
      </c>
      <c r="C222" s="25">
        <v>45931.0</v>
      </c>
      <c r="D222" s="26"/>
      <c r="E222" s="16" t="s">
        <v>114</v>
      </c>
      <c r="F222" s="27" t="s">
        <v>273</v>
      </c>
      <c r="G222" s="28">
        <v>14.95</v>
      </c>
      <c r="H222" s="29">
        <v>32875.28</v>
      </c>
    </row>
    <row r="223">
      <c r="A223" s="10">
        <v>153.0</v>
      </c>
      <c r="B223" s="10" t="s">
        <v>148</v>
      </c>
      <c r="C223" s="25">
        <v>45931.0</v>
      </c>
      <c r="D223" s="26"/>
      <c r="E223" s="16" t="s">
        <v>114</v>
      </c>
      <c r="F223" s="27" t="s">
        <v>274</v>
      </c>
      <c r="G223" s="28">
        <v>14.95</v>
      </c>
      <c r="H223" s="29">
        <v>32890.23</v>
      </c>
    </row>
    <row r="224">
      <c r="A224" s="10">
        <v>155.0</v>
      </c>
      <c r="B224" s="10" t="s">
        <v>148</v>
      </c>
      <c r="C224" s="25">
        <v>45931.0</v>
      </c>
      <c r="D224" s="26"/>
      <c r="E224" s="16" t="s">
        <v>114</v>
      </c>
      <c r="F224" s="27" t="s">
        <v>275</v>
      </c>
      <c r="G224" s="28">
        <v>15.0</v>
      </c>
      <c r="H224" s="29">
        <v>32936.37</v>
      </c>
    </row>
    <row r="225">
      <c r="A225" s="10">
        <v>101.0</v>
      </c>
      <c r="B225" s="10" t="s">
        <v>148</v>
      </c>
      <c r="C225" s="25">
        <v>45931.0</v>
      </c>
      <c r="D225" s="26"/>
      <c r="E225" s="16" t="s">
        <v>136</v>
      </c>
      <c r="F225" s="27" t="s">
        <v>276</v>
      </c>
      <c r="G225" s="28">
        <v>11.48</v>
      </c>
      <c r="H225" s="29">
        <v>38689.89</v>
      </c>
    </row>
    <row r="226">
      <c r="A226" s="10">
        <v>77.0</v>
      </c>
      <c r="B226" s="10" t="s">
        <v>148</v>
      </c>
      <c r="C226" s="25">
        <v>45932.0</v>
      </c>
      <c r="D226" s="26"/>
      <c r="E226" s="16" t="s">
        <v>27</v>
      </c>
      <c r="F226" s="27" t="s">
        <v>277</v>
      </c>
      <c r="G226" s="28">
        <v>28.71</v>
      </c>
      <c r="H226" s="29">
        <v>44006.26</v>
      </c>
    </row>
    <row r="227">
      <c r="A227" s="10">
        <v>78.0</v>
      </c>
      <c r="B227" s="10" t="s">
        <v>148</v>
      </c>
      <c r="C227" s="25">
        <v>45932.0</v>
      </c>
      <c r="D227" s="26"/>
      <c r="E227" s="16" t="s">
        <v>27</v>
      </c>
      <c r="F227" s="27" t="s">
        <v>278</v>
      </c>
      <c r="G227" s="28">
        <v>37.86</v>
      </c>
      <c r="H227" s="29">
        <v>44034.97</v>
      </c>
    </row>
    <row r="228">
      <c r="A228" s="10">
        <v>81.0</v>
      </c>
      <c r="B228" s="10" t="s">
        <v>148</v>
      </c>
      <c r="C228" s="25">
        <v>45932.0</v>
      </c>
      <c r="D228" s="26"/>
      <c r="E228" s="12" t="s">
        <v>126</v>
      </c>
      <c r="F228" s="27" t="s">
        <v>279</v>
      </c>
      <c r="G228" s="28">
        <v>393.0</v>
      </c>
      <c r="H228" s="29">
        <v>44119.41</v>
      </c>
    </row>
    <row r="229">
      <c r="A229" s="10">
        <v>82.0</v>
      </c>
      <c r="B229" s="10" t="s">
        <v>148</v>
      </c>
      <c r="C229" s="25">
        <v>45932.0</v>
      </c>
      <c r="D229" s="26"/>
      <c r="E229" s="12" t="s">
        <v>126</v>
      </c>
      <c r="F229" s="27" t="s">
        <v>280</v>
      </c>
      <c r="G229" s="28">
        <v>196.0</v>
      </c>
      <c r="H229" s="29">
        <v>44512.41</v>
      </c>
    </row>
    <row r="230">
      <c r="A230" s="10">
        <v>83.0</v>
      </c>
      <c r="B230" s="10" t="s">
        <v>148</v>
      </c>
      <c r="C230" s="25">
        <v>45932.0</v>
      </c>
      <c r="D230" s="26"/>
      <c r="E230" s="12" t="s">
        <v>126</v>
      </c>
      <c r="F230" s="27" t="s">
        <v>281</v>
      </c>
      <c r="G230" s="28">
        <v>175.0</v>
      </c>
      <c r="H230" s="29">
        <v>44708.41</v>
      </c>
    </row>
    <row r="231">
      <c r="A231" s="10">
        <v>84.0</v>
      </c>
      <c r="B231" s="10" t="s">
        <v>148</v>
      </c>
      <c r="C231" s="25">
        <v>45932.0</v>
      </c>
      <c r="D231" s="26"/>
      <c r="E231" s="12" t="s">
        <v>126</v>
      </c>
      <c r="F231" s="27" t="s">
        <v>282</v>
      </c>
      <c r="G231" s="28">
        <v>153.0</v>
      </c>
      <c r="H231" s="29">
        <v>44883.41</v>
      </c>
    </row>
    <row r="232">
      <c r="A232" s="10">
        <v>85.0</v>
      </c>
      <c r="B232" s="10" t="s">
        <v>148</v>
      </c>
      <c r="C232" s="25">
        <v>45932.0</v>
      </c>
      <c r="D232" s="26"/>
      <c r="E232" s="12" t="s">
        <v>126</v>
      </c>
      <c r="F232" s="27" t="s">
        <v>283</v>
      </c>
      <c r="G232" s="28">
        <v>175.0</v>
      </c>
      <c r="H232" s="29">
        <v>45036.41</v>
      </c>
    </row>
    <row r="233">
      <c r="A233" s="10">
        <v>86.0</v>
      </c>
      <c r="B233" s="10" t="s">
        <v>148</v>
      </c>
      <c r="C233" s="25">
        <v>45932.0</v>
      </c>
      <c r="D233" s="26"/>
      <c r="E233" s="12" t="s">
        <v>126</v>
      </c>
      <c r="F233" s="27" t="s">
        <v>284</v>
      </c>
      <c r="G233" s="28">
        <v>177.0</v>
      </c>
      <c r="H233" s="29">
        <v>45211.41</v>
      </c>
    </row>
    <row r="234">
      <c r="A234" s="10">
        <v>68.0</v>
      </c>
      <c r="B234" s="10" t="s">
        <v>148</v>
      </c>
      <c r="C234" s="25">
        <v>45932.0</v>
      </c>
      <c r="D234" s="26"/>
      <c r="E234" s="16" t="s">
        <v>186</v>
      </c>
      <c r="F234" s="27" t="s">
        <v>285</v>
      </c>
      <c r="G234" s="28">
        <v>500.0</v>
      </c>
      <c r="H234" s="29">
        <v>42033.63</v>
      </c>
    </row>
    <row r="235">
      <c r="A235" s="10">
        <v>69.0</v>
      </c>
      <c r="B235" s="10" t="s">
        <v>148</v>
      </c>
      <c r="C235" s="25">
        <v>45932.0</v>
      </c>
      <c r="D235" s="26"/>
      <c r="E235" s="16" t="s">
        <v>186</v>
      </c>
      <c r="F235" s="27" t="s">
        <v>285</v>
      </c>
      <c r="G235" s="28">
        <v>3547.79</v>
      </c>
      <c r="H235" s="29">
        <v>42533.63</v>
      </c>
    </row>
    <row r="236">
      <c r="A236" s="10">
        <v>70.0</v>
      </c>
      <c r="B236" s="10" t="s">
        <v>148</v>
      </c>
      <c r="C236" s="25">
        <v>45932.0</v>
      </c>
      <c r="D236" s="26"/>
      <c r="E236" s="16" t="s">
        <v>186</v>
      </c>
      <c r="F236" s="27" t="s">
        <v>285</v>
      </c>
      <c r="G236" s="28">
        <v>540.38</v>
      </c>
      <c r="H236" s="29">
        <v>46081.42</v>
      </c>
    </row>
    <row r="237">
      <c r="A237" s="10">
        <v>71.0</v>
      </c>
      <c r="B237" s="10" t="s">
        <v>148</v>
      </c>
      <c r="C237" s="25">
        <v>45932.0</v>
      </c>
      <c r="D237" s="26"/>
      <c r="E237" s="16" t="s">
        <v>186</v>
      </c>
      <c r="F237" s="27" t="s">
        <v>285</v>
      </c>
      <c r="G237" s="28">
        <v>9.46</v>
      </c>
      <c r="H237" s="29">
        <v>46621.8</v>
      </c>
    </row>
    <row r="238">
      <c r="A238" s="10">
        <v>79.0</v>
      </c>
      <c r="B238" s="10" t="s">
        <v>148</v>
      </c>
      <c r="C238" s="25">
        <v>45932.0</v>
      </c>
      <c r="D238" s="26"/>
      <c r="E238" s="16" t="s">
        <v>133</v>
      </c>
      <c r="F238" s="27" t="s">
        <v>286</v>
      </c>
      <c r="G238" s="28">
        <v>30.82</v>
      </c>
      <c r="H238" s="29">
        <v>44072.83</v>
      </c>
    </row>
    <row r="239">
      <c r="A239" s="10">
        <v>80.0</v>
      </c>
      <c r="B239" s="10" t="s">
        <v>148</v>
      </c>
      <c r="C239" s="25">
        <v>45932.0</v>
      </c>
      <c r="D239" s="26"/>
      <c r="E239" s="16" t="s">
        <v>133</v>
      </c>
      <c r="F239" s="27" t="s">
        <v>287</v>
      </c>
      <c r="G239" s="28">
        <v>15.76</v>
      </c>
      <c r="H239" s="29">
        <v>44103.65</v>
      </c>
    </row>
    <row r="240">
      <c r="A240" s="10">
        <v>72.0</v>
      </c>
      <c r="B240" s="10" t="s">
        <v>148</v>
      </c>
      <c r="C240" s="25">
        <v>45932.0</v>
      </c>
      <c r="D240" s="26"/>
      <c r="E240" s="16" t="s">
        <v>58</v>
      </c>
      <c r="F240" s="27" t="s">
        <v>288</v>
      </c>
      <c r="G240" s="28">
        <v>-650.0</v>
      </c>
      <c r="H240" s="29">
        <v>46631.26</v>
      </c>
    </row>
    <row r="241">
      <c r="A241" s="10">
        <v>67.0</v>
      </c>
      <c r="B241" s="10" t="s">
        <v>148</v>
      </c>
      <c r="C241" s="25">
        <v>45932.0</v>
      </c>
      <c r="D241" s="26"/>
      <c r="E241" s="16" t="s">
        <v>58</v>
      </c>
      <c r="F241" s="27" t="s">
        <v>289</v>
      </c>
      <c r="G241" s="28">
        <v>-675.0</v>
      </c>
      <c r="H241" s="29">
        <v>42708.63</v>
      </c>
    </row>
    <row r="242">
      <c r="A242" s="10">
        <v>74.0</v>
      </c>
      <c r="B242" s="10" t="s">
        <v>148</v>
      </c>
      <c r="C242" s="25">
        <v>45932.0</v>
      </c>
      <c r="D242" s="26"/>
      <c r="E242" s="16" t="s">
        <v>58</v>
      </c>
      <c r="F242" s="27" t="s">
        <v>290</v>
      </c>
      <c r="G242" s="28">
        <v>-675.0</v>
      </c>
      <c r="H242" s="29">
        <v>45256.26</v>
      </c>
    </row>
    <row r="243">
      <c r="A243" s="10">
        <v>75.0</v>
      </c>
      <c r="B243" s="10" t="s">
        <v>148</v>
      </c>
      <c r="C243" s="25">
        <v>45932.0</v>
      </c>
      <c r="D243" s="26"/>
      <c r="E243" s="16" t="s">
        <v>58</v>
      </c>
      <c r="F243" s="27" t="s">
        <v>291</v>
      </c>
      <c r="G243" s="28">
        <v>-675.0</v>
      </c>
      <c r="H243" s="29">
        <v>44581.26</v>
      </c>
    </row>
    <row r="244">
      <c r="A244" s="10">
        <v>87.0</v>
      </c>
      <c r="B244" s="10" t="s">
        <v>148</v>
      </c>
      <c r="C244" s="25">
        <v>45932.0</v>
      </c>
      <c r="D244" s="26"/>
      <c r="E244" s="16" t="s">
        <v>58</v>
      </c>
      <c r="F244" s="27" t="s">
        <v>292</v>
      </c>
      <c r="G244" s="28">
        <v>-700.0</v>
      </c>
      <c r="H244" s="29">
        <v>45388.41</v>
      </c>
    </row>
    <row r="245">
      <c r="A245" s="10">
        <v>73.0</v>
      </c>
      <c r="B245" s="10" t="s">
        <v>148</v>
      </c>
      <c r="C245" s="25">
        <v>45932.0</v>
      </c>
      <c r="D245" s="26"/>
      <c r="E245" s="16" t="s">
        <v>58</v>
      </c>
      <c r="F245" s="27" t="s">
        <v>293</v>
      </c>
      <c r="G245" s="28">
        <v>-725.0</v>
      </c>
      <c r="H245" s="29">
        <v>45981.26</v>
      </c>
    </row>
    <row r="246">
      <c r="A246" s="10">
        <v>76.0</v>
      </c>
      <c r="B246" s="10" t="s">
        <v>148</v>
      </c>
      <c r="C246" s="25">
        <v>45932.0</v>
      </c>
      <c r="D246" s="26"/>
      <c r="E246" s="16" t="s">
        <v>202</v>
      </c>
      <c r="F246" s="27" t="s">
        <v>294</v>
      </c>
      <c r="G246" s="28">
        <v>100.0</v>
      </c>
      <c r="H246" s="29">
        <v>43906.26</v>
      </c>
    </row>
    <row r="247">
      <c r="A247" s="10">
        <v>64.0</v>
      </c>
      <c r="B247" s="10" t="s">
        <v>148</v>
      </c>
      <c r="C247" s="25">
        <v>45933.0</v>
      </c>
      <c r="D247" s="26"/>
      <c r="E247" s="16" t="s">
        <v>184</v>
      </c>
      <c r="F247" s="27" t="s">
        <v>295</v>
      </c>
      <c r="G247" s="28">
        <v>-100.0</v>
      </c>
      <c r="H247" s="29">
        <v>41746.71</v>
      </c>
    </row>
    <row r="248">
      <c r="A248" s="10">
        <v>66.0</v>
      </c>
      <c r="B248" s="10" t="s">
        <v>148</v>
      </c>
      <c r="C248" s="25">
        <v>45933.0</v>
      </c>
      <c r="D248" s="26"/>
      <c r="E248" s="16" t="s">
        <v>184</v>
      </c>
      <c r="F248" s="27" t="s">
        <v>296</v>
      </c>
      <c r="G248" s="28">
        <v>-100.0</v>
      </c>
      <c r="H248" s="29">
        <v>42808.63</v>
      </c>
    </row>
    <row r="249">
      <c r="A249" s="10">
        <v>65.0</v>
      </c>
      <c r="B249" s="10" t="s">
        <v>148</v>
      </c>
      <c r="C249" s="25">
        <v>45933.0</v>
      </c>
      <c r="D249" s="26"/>
      <c r="E249" s="16" t="s">
        <v>137</v>
      </c>
      <c r="F249" s="27" t="s">
        <v>297</v>
      </c>
      <c r="G249" s="28">
        <v>1161.92</v>
      </c>
      <c r="H249" s="29">
        <v>41646.71</v>
      </c>
    </row>
    <row r="250">
      <c r="A250" s="10">
        <v>62.0</v>
      </c>
      <c r="B250" s="10" t="s">
        <v>148</v>
      </c>
      <c r="C250" s="25">
        <v>45936.0</v>
      </c>
      <c r="D250" s="26"/>
      <c r="E250" s="16" t="s">
        <v>140</v>
      </c>
      <c r="F250" s="27" t="s">
        <v>298</v>
      </c>
      <c r="G250" s="28">
        <v>19.68</v>
      </c>
      <c r="H250" s="29">
        <v>41697.04</v>
      </c>
    </row>
    <row r="251">
      <c r="A251" s="10">
        <v>61.0</v>
      </c>
      <c r="B251" s="10" t="s">
        <v>148</v>
      </c>
      <c r="C251" s="25">
        <v>45936.0</v>
      </c>
      <c r="D251" s="26"/>
      <c r="E251" s="12" t="s">
        <v>148</v>
      </c>
      <c r="F251" s="27" t="s">
        <v>299</v>
      </c>
      <c r="G251" s="28">
        <v>476.54</v>
      </c>
      <c r="H251" s="29">
        <v>41220.5</v>
      </c>
    </row>
    <row r="252">
      <c r="A252" s="10">
        <v>60.0</v>
      </c>
      <c r="B252" s="10" t="s">
        <v>148</v>
      </c>
      <c r="C252" s="25">
        <v>45936.0</v>
      </c>
      <c r="D252" s="26"/>
      <c r="E252" s="16" t="s">
        <v>100</v>
      </c>
      <c r="F252" s="27" t="s">
        <v>300</v>
      </c>
      <c r="G252" s="28">
        <v>4.37</v>
      </c>
      <c r="H252" s="29">
        <v>41216.13</v>
      </c>
    </row>
    <row r="253">
      <c r="A253" s="10">
        <v>63.0</v>
      </c>
      <c r="B253" s="10" t="s">
        <v>148</v>
      </c>
      <c r="C253" s="25">
        <v>45936.0</v>
      </c>
      <c r="D253" s="26"/>
      <c r="E253" s="16" t="s">
        <v>150</v>
      </c>
      <c r="F253" s="27" t="s">
        <v>301</v>
      </c>
      <c r="G253" s="28">
        <v>29.99</v>
      </c>
      <c r="H253" s="29">
        <v>41716.72</v>
      </c>
    </row>
    <row r="254">
      <c r="A254" s="10">
        <v>59.0</v>
      </c>
      <c r="B254" s="10" t="s">
        <v>148</v>
      </c>
      <c r="C254" s="25">
        <v>45937.0</v>
      </c>
      <c r="D254" s="26"/>
      <c r="E254" s="16" t="s">
        <v>179</v>
      </c>
      <c r="F254" s="27" t="s">
        <v>298</v>
      </c>
      <c r="G254" s="28">
        <v>45.58</v>
      </c>
      <c r="H254" s="29">
        <v>41170.55</v>
      </c>
    </row>
    <row r="255">
      <c r="A255" s="10">
        <v>58.0</v>
      </c>
      <c r="B255" s="10" t="s">
        <v>148</v>
      </c>
      <c r="C255" s="25">
        <v>45937.0</v>
      </c>
      <c r="D255" s="26"/>
      <c r="E255" s="16" t="s">
        <v>142</v>
      </c>
      <c r="F255" s="27" t="s">
        <v>302</v>
      </c>
      <c r="G255" s="28">
        <v>330.78</v>
      </c>
      <c r="H255" s="29">
        <v>40839.77</v>
      </c>
    </row>
    <row r="256">
      <c r="A256" s="10">
        <v>57.0</v>
      </c>
      <c r="B256" s="10" t="s">
        <v>148</v>
      </c>
      <c r="C256" s="25">
        <v>45938.0</v>
      </c>
      <c r="D256" s="26"/>
      <c r="E256" s="16" t="s">
        <v>184</v>
      </c>
      <c r="F256" s="27" t="s">
        <v>296</v>
      </c>
      <c r="G256" s="28">
        <v>-625.0</v>
      </c>
      <c r="H256" s="29">
        <v>41464.77</v>
      </c>
    </row>
    <row r="257">
      <c r="A257" s="10">
        <v>56.0</v>
      </c>
      <c r="B257" s="10" t="s">
        <v>148</v>
      </c>
      <c r="C257" s="25">
        <v>45939.0</v>
      </c>
      <c r="D257" s="26"/>
      <c r="E257" s="16" t="s">
        <v>152</v>
      </c>
      <c r="F257" s="27" t="s">
        <v>303</v>
      </c>
      <c r="G257" s="28">
        <v>32.27</v>
      </c>
      <c r="H257" s="29">
        <v>41432.5</v>
      </c>
    </row>
    <row r="258">
      <c r="A258" s="10">
        <v>54.0</v>
      </c>
      <c r="B258" s="10" t="s">
        <v>148</v>
      </c>
      <c r="C258" s="30">
        <v>45940.0</v>
      </c>
      <c r="D258" s="26"/>
      <c r="E258" s="12" t="s">
        <v>153</v>
      </c>
      <c r="F258" s="27" t="s">
        <v>304</v>
      </c>
      <c r="G258" s="28">
        <v>656.12</v>
      </c>
      <c r="H258" s="29">
        <v>9276.38</v>
      </c>
    </row>
    <row r="259">
      <c r="A259" s="10">
        <v>55.0</v>
      </c>
      <c r="B259" s="10" t="s">
        <v>148</v>
      </c>
      <c r="C259" s="30">
        <v>45940.0</v>
      </c>
      <c r="D259" s="26"/>
      <c r="E259" s="16" t="s">
        <v>190</v>
      </c>
      <c r="F259" s="27" t="s">
        <v>305</v>
      </c>
      <c r="G259" s="28">
        <v>31500.0</v>
      </c>
      <c r="H259" s="29">
        <v>9932.5</v>
      </c>
    </row>
    <row r="260">
      <c r="A260" s="10">
        <v>53.0</v>
      </c>
      <c r="B260" s="10" t="s">
        <v>148</v>
      </c>
      <c r="C260" s="30">
        <v>45942.0</v>
      </c>
      <c r="D260" s="26"/>
      <c r="E260" s="16" t="s">
        <v>184</v>
      </c>
      <c r="F260" s="27" t="s">
        <v>306</v>
      </c>
      <c r="G260" s="28">
        <v>-575.0</v>
      </c>
      <c r="H260" s="29">
        <v>9851.38</v>
      </c>
    </row>
    <row r="261">
      <c r="A261" s="10">
        <v>51.0</v>
      </c>
      <c r="B261" s="10" t="s">
        <v>148</v>
      </c>
      <c r="C261" s="30">
        <v>45943.0</v>
      </c>
      <c r="D261" s="26"/>
      <c r="E261" s="16" t="s">
        <v>307</v>
      </c>
      <c r="F261" s="27" t="s">
        <v>252</v>
      </c>
      <c r="G261" s="28">
        <v>-20.95</v>
      </c>
      <c r="H261" s="29">
        <v>9849.54</v>
      </c>
    </row>
    <row r="262">
      <c r="A262" s="10">
        <v>52.0</v>
      </c>
      <c r="B262" s="10" t="s">
        <v>148</v>
      </c>
      <c r="C262" s="30">
        <v>45943.0</v>
      </c>
      <c r="D262" s="26"/>
      <c r="E262" s="16" t="s">
        <v>179</v>
      </c>
      <c r="F262" s="27" t="s">
        <v>298</v>
      </c>
      <c r="G262" s="28">
        <v>22.79</v>
      </c>
      <c r="H262" s="29">
        <v>9828.59</v>
      </c>
    </row>
    <row r="263">
      <c r="A263" s="10">
        <v>49.0</v>
      </c>
      <c r="B263" s="10" t="s">
        <v>148</v>
      </c>
      <c r="C263" s="30">
        <v>45944.0</v>
      </c>
      <c r="D263" s="26"/>
      <c r="E263" s="16" t="s">
        <v>16</v>
      </c>
      <c r="F263" s="27" t="s">
        <v>308</v>
      </c>
      <c r="G263" s="28">
        <v>55.0</v>
      </c>
      <c r="H263" s="29">
        <v>10164.7</v>
      </c>
    </row>
    <row r="264">
      <c r="A264" s="10">
        <v>46.0</v>
      </c>
      <c r="B264" s="10" t="s">
        <v>148</v>
      </c>
      <c r="C264" s="30">
        <v>45944.0</v>
      </c>
      <c r="D264" s="26"/>
      <c r="E264" s="16" t="s">
        <v>188</v>
      </c>
      <c r="F264" s="27" t="s">
        <v>309</v>
      </c>
      <c r="G264" s="28">
        <v>220.46</v>
      </c>
      <c r="H264" s="29">
        <v>9748.24</v>
      </c>
    </row>
    <row r="265">
      <c r="A265" s="10">
        <v>47.0</v>
      </c>
      <c r="B265" s="10" t="s">
        <v>148</v>
      </c>
      <c r="C265" s="30">
        <v>45944.0</v>
      </c>
      <c r="D265" s="26"/>
      <c r="E265" s="16" t="s">
        <v>188</v>
      </c>
      <c r="F265" s="27" t="s">
        <v>310</v>
      </c>
      <c r="G265" s="28">
        <v>96.0</v>
      </c>
      <c r="H265" s="29">
        <v>9968.7</v>
      </c>
    </row>
    <row r="266">
      <c r="A266" s="10">
        <v>50.0</v>
      </c>
      <c r="B266" s="10" t="s">
        <v>148</v>
      </c>
      <c r="C266" s="30">
        <v>45944.0</v>
      </c>
      <c r="D266" s="26"/>
      <c r="E266" s="16" t="s">
        <v>58</v>
      </c>
      <c r="F266" s="27" t="s">
        <v>311</v>
      </c>
      <c r="G266" s="28">
        <v>-370.16</v>
      </c>
      <c r="H266" s="29">
        <v>10219.7</v>
      </c>
    </row>
    <row r="267">
      <c r="A267" s="10">
        <v>48.0</v>
      </c>
      <c r="B267" s="10" t="s">
        <v>148</v>
      </c>
      <c r="C267" s="30">
        <v>45944.0</v>
      </c>
      <c r="D267" s="26"/>
      <c r="E267" s="16" t="s">
        <v>202</v>
      </c>
      <c r="F267" s="27" t="s">
        <v>294</v>
      </c>
      <c r="G267" s="28">
        <v>100.0</v>
      </c>
      <c r="H267" s="29">
        <v>10064.7</v>
      </c>
    </row>
    <row r="268">
      <c r="A268" s="10">
        <v>43.0</v>
      </c>
      <c r="B268" s="10" t="s">
        <v>148</v>
      </c>
      <c r="C268" s="30">
        <v>45945.0</v>
      </c>
      <c r="D268" s="26"/>
      <c r="E268" s="16" t="s">
        <v>41</v>
      </c>
      <c r="F268" s="27" t="s">
        <v>312</v>
      </c>
      <c r="G268" s="28">
        <v>5.99</v>
      </c>
      <c r="H268" s="29">
        <v>9953.33</v>
      </c>
    </row>
    <row r="269">
      <c r="A269" s="10">
        <v>45.0</v>
      </c>
      <c r="B269" s="10" t="s">
        <v>148</v>
      </c>
      <c r="C269" s="30">
        <v>45945.0</v>
      </c>
      <c r="D269" s="26"/>
      <c r="E269" s="16" t="s">
        <v>179</v>
      </c>
      <c r="F269" s="27" t="s">
        <v>298</v>
      </c>
      <c r="G269" s="28">
        <v>22.79</v>
      </c>
      <c r="H269" s="29">
        <v>9725.45</v>
      </c>
    </row>
    <row r="270">
      <c r="A270" s="10">
        <v>44.0</v>
      </c>
      <c r="B270" s="10" t="s">
        <v>148</v>
      </c>
      <c r="C270" s="30">
        <v>45945.0</v>
      </c>
      <c r="D270" s="26"/>
      <c r="E270" s="16" t="s">
        <v>58</v>
      </c>
      <c r="F270" s="27" t="s">
        <v>296</v>
      </c>
      <c r="G270" s="28">
        <v>-233.87</v>
      </c>
      <c r="H270" s="29">
        <v>9959.32</v>
      </c>
    </row>
    <row r="271">
      <c r="A271" s="10">
        <v>41.0</v>
      </c>
      <c r="B271" s="10" t="s">
        <v>148</v>
      </c>
      <c r="C271" s="30">
        <v>45946.0</v>
      </c>
      <c r="D271" s="26"/>
      <c r="E271" s="16" t="s">
        <v>184</v>
      </c>
      <c r="F271" s="27" t="s">
        <v>313</v>
      </c>
      <c r="G271" s="28">
        <v>620.0</v>
      </c>
      <c r="H271" s="29">
        <v>9072.94</v>
      </c>
    </row>
    <row r="272">
      <c r="A272" s="10">
        <v>42.0</v>
      </c>
      <c r="B272" s="10" t="s">
        <v>148</v>
      </c>
      <c r="C272" s="30">
        <v>45946.0</v>
      </c>
      <c r="D272" s="26"/>
      <c r="E272" s="16" t="s">
        <v>184</v>
      </c>
      <c r="F272" s="27" t="s">
        <v>314</v>
      </c>
      <c r="G272" s="28">
        <f>326.61+260.39</f>
        <v>587</v>
      </c>
      <c r="H272" s="29">
        <v>9692.94</v>
      </c>
    </row>
    <row r="273">
      <c r="A273" s="10"/>
      <c r="B273" s="10" t="s">
        <v>148</v>
      </c>
      <c r="C273" s="30"/>
      <c r="D273" s="26"/>
      <c r="E273" s="16" t="s">
        <v>58</v>
      </c>
      <c r="F273" s="27"/>
      <c r="G273" s="29">
        <v>-326.61</v>
      </c>
      <c r="H273" s="29"/>
    </row>
    <row r="274">
      <c r="A274" s="10">
        <v>39.0</v>
      </c>
      <c r="B274" s="10" t="s">
        <v>148</v>
      </c>
      <c r="C274" s="30">
        <v>45946.0</v>
      </c>
      <c r="D274" s="26"/>
      <c r="E274" s="16" t="s">
        <v>156</v>
      </c>
      <c r="F274" s="27" t="s">
        <v>315</v>
      </c>
      <c r="G274" s="28">
        <v>1.07</v>
      </c>
      <c r="H274" s="29">
        <v>9035.63</v>
      </c>
    </row>
    <row r="275">
      <c r="A275" s="10">
        <v>40.0</v>
      </c>
      <c r="B275" s="10" t="s">
        <v>148</v>
      </c>
      <c r="C275" s="30">
        <v>45946.0</v>
      </c>
      <c r="D275" s="26"/>
      <c r="E275" s="16" t="s">
        <v>156</v>
      </c>
      <c r="F275" s="27" t="s">
        <v>316</v>
      </c>
      <c r="G275" s="28">
        <v>36.24</v>
      </c>
      <c r="H275" s="29">
        <v>9036.7</v>
      </c>
    </row>
    <row r="276">
      <c r="A276" s="10">
        <v>36.0</v>
      </c>
      <c r="B276" s="10" t="s">
        <v>148</v>
      </c>
      <c r="C276" s="30">
        <v>45947.0</v>
      </c>
      <c r="D276" s="26"/>
      <c r="E276" s="16" t="s">
        <v>158</v>
      </c>
      <c r="F276" s="27" t="s">
        <v>315</v>
      </c>
      <c r="G276" s="28">
        <v>0.64</v>
      </c>
      <c r="H276" s="29">
        <v>8916.29</v>
      </c>
    </row>
    <row r="277">
      <c r="A277" s="10">
        <v>37.0</v>
      </c>
      <c r="B277" s="10" t="s">
        <v>148</v>
      </c>
      <c r="C277" s="30">
        <v>45947.0</v>
      </c>
      <c r="D277" s="26"/>
      <c r="E277" s="16" t="s">
        <v>158</v>
      </c>
      <c r="F277" s="27" t="s">
        <v>317</v>
      </c>
      <c r="G277" s="28">
        <v>21.8</v>
      </c>
      <c r="H277" s="29">
        <v>8916.93</v>
      </c>
    </row>
    <row r="278">
      <c r="A278" s="10">
        <v>38.0</v>
      </c>
      <c r="B278" s="10" t="s">
        <v>148</v>
      </c>
      <c r="C278" s="30">
        <v>45947.0</v>
      </c>
      <c r="D278" s="26"/>
      <c r="E278" s="16" t="s">
        <v>159</v>
      </c>
      <c r="F278" s="27" t="s">
        <v>318</v>
      </c>
      <c r="G278" s="28">
        <v>96.9</v>
      </c>
      <c r="H278" s="29">
        <v>8938.73</v>
      </c>
    </row>
    <row r="279">
      <c r="A279" s="10">
        <v>35.0</v>
      </c>
      <c r="B279" s="10" t="s">
        <v>148</v>
      </c>
      <c r="C279" s="30">
        <v>45948.0</v>
      </c>
      <c r="D279" s="26"/>
      <c r="E279" s="16" t="s">
        <v>148</v>
      </c>
      <c r="F279" s="27" t="s">
        <v>319</v>
      </c>
      <c r="G279" s="28">
        <v>12.5</v>
      </c>
      <c r="H279" s="29">
        <v>8903.79</v>
      </c>
    </row>
    <row r="280">
      <c r="A280" s="10">
        <v>31.0</v>
      </c>
      <c r="B280" s="10" t="s">
        <v>148</v>
      </c>
      <c r="C280" s="30">
        <v>45950.0</v>
      </c>
      <c r="D280" s="26"/>
      <c r="E280" s="16" t="s">
        <v>184</v>
      </c>
      <c r="F280" s="27" t="s">
        <v>320</v>
      </c>
      <c r="G280" s="28">
        <v>612.0</v>
      </c>
      <c r="H280" s="29">
        <v>8214.89</v>
      </c>
    </row>
    <row r="281">
      <c r="A281" s="10">
        <v>29.0</v>
      </c>
      <c r="B281" s="10" t="s">
        <v>148</v>
      </c>
      <c r="C281" s="30">
        <v>45950.0</v>
      </c>
      <c r="D281" s="26"/>
      <c r="E281" s="16" t="s">
        <v>188</v>
      </c>
      <c r="F281" s="27" t="s">
        <v>321</v>
      </c>
      <c r="G281" s="28">
        <v>720.0</v>
      </c>
      <c r="H281" s="29">
        <v>7269.09</v>
      </c>
    </row>
    <row r="282">
      <c r="A282" s="10">
        <v>32.0</v>
      </c>
      <c r="B282" s="10" t="s">
        <v>148</v>
      </c>
      <c r="C282" s="30">
        <v>45950.0</v>
      </c>
      <c r="D282" s="26"/>
      <c r="E282" s="16" t="s">
        <v>41</v>
      </c>
      <c r="F282" s="27" t="s">
        <v>322</v>
      </c>
      <c r="G282" s="28">
        <v>5.99</v>
      </c>
      <c r="H282" s="29">
        <v>8826.89</v>
      </c>
    </row>
    <row r="283">
      <c r="A283" s="10">
        <v>30.0</v>
      </c>
      <c r="B283" s="10" t="s">
        <v>148</v>
      </c>
      <c r="C283" s="30">
        <v>45950.0</v>
      </c>
      <c r="D283" s="26"/>
      <c r="E283" s="16" t="s">
        <v>58</v>
      </c>
      <c r="F283" s="27" t="s">
        <v>323</v>
      </c>
      <c r="G283" s="28">
        <v>225.8</v>
      </c>
      <c r="H283" s="29">
        <v>7989.09</v>
      </c>
    </row>
    <row r="284">
      <c r="A284" s="10">
        <v>33.0</v>
      </c>
      <c r="B284" s="10" t="s">
        <v>148</v>
      </c>
      <c r="C284" s="30">
        <v>45950.0</v>
      </c>
      <c r="D284" s="26"/>
      <c r="E284" s="16" t="s">
        <v>150</v>
      </c>
      <c r="F284" s="27" t="s">
        <v>324</v>
      </c>
      <c r="G284" s="28">
        <v>38.68</v>
      </c>
      <c r="H284" s="29">
        <v>8832.88</v>
      </c>
    </row>
    <row r="285">
      <c r="A285" s="10">
        <v>34.0</v>
      </c>
      <c r="B285" s="10" t="s">
        <v>148</v>
      </c>
      <c r="C285" s="30">
        <v>45950.0</v>
      </c>
      <c r="D285" s="26"/>
      <c r="E285" s="16" t="s">
        <v>150</v>
      </c>
      <c r="F285" s="27" t="s">
        <v>325</v>
      </c>
      <c r="G285" s="28">
        <v>32.23</v>
      </c>
      <c r="H285" s="29">
        <v>8871.56</v>
      </c>
    </row>
    <row r="286">
      <c r="A286" s="10">
        <v>27.0</v>
      </c>
      <c r="B286" s="10" t="s">
        <v>148</v>
      </c>
      <c r="C286" s="30">
        <v>45951.0</v>
      </c>
      <c r="D286" s="26"/>
      <c r="E286" s="16" t="s">
        <v>166</v>
      </c>
      <c r="F286" s="27" t="s">
        <v>326</v>
      </c>
      <c r="G286" s="28">
        <v>16.8</v>
      </c>
      <c r="H286" s="29">
        <v>7225.29</v>
      </c>
    </row>
    <row r="287">
      <c r="A287" s="10">
        <v>28.0</v>
      </c>
      <c r="B287" s="10" t="s">
        <v>148</v>
      </c>
      <c r="C287" s="30">
        <v>45951.0</v>
      </c>
      <c r="D287" s="26"/>
      <c r="E287" s="16" t="s">
        <v>164</v>
      </c>
      <c r="F287" s="27" t="s">
        <v>327</v>
      </c>
      <c r="G287" s="28">
        <v>27.0</v>
      </c>
      <c r="H287" s="29">
        <v>7242.09</v>
      </c>
    </row>
    <row r="288">
      <c r="A288" s="10">
        <v>25.0</v>
      </c>
      <c r="B288" s="10" t="s">
        <v>148</v>
      </c>
      <c r="C288" s="30">
        <v>45953.0</v>
      </c>
      <c r="D288" s="26"/>
      <c r="E288" s="16" t="s">
        <v>186</v>
      </c>
      <c r="F288" s="27" t="s">
        <v>285</v>
      </c>
      <c r="G288" s="28">
        <v>436.27</v>
      </c>
      <c r="H288" s="29">
        <v>6779.03</v>
      </c>
    </row>
    <row r="289">
      <c r="A289" s="10">
        <v>24.0</v>
      </c>
      <c r="B289" s="10" t="s">
        <v>148</v>
      </c>
      <c r="C289" s="30">
        <v>45953.0</v>
      </c>
      <c r="D289" s="26"/>
      <c r="E289" s="16" t="s">
        <v>188</v>
      </c>
      <c r="F289" s="27" t="s">
        <v>328</v>
      </c>
      <c r="G289" s="28">
        <v>590.0</v>
      </c>
      <c r="H289" s="29">
        <v>6189.03</v>
      </c>
    </row>
    <row r="290">
      <c r="A290" s="10">
        <v>26.0</v>
      </c>
      <c r="B290" s="10" t="s">
        <v>148</v>
      </c>
      <c r="C290" s="30">
        <v>45953.0</v>
      </c>
      <c r="D290" s="26"/>
      <c r="E290" s="16" t="s">
        <v>188</v>
      </c>
      <c r="F290" s="27" t="s">
        <v>329</v>
      </c>
      <c r="G290" s="28">
        <v>9.99</v>
      </c>
      <c r="H290" s="29">
        <v>7215.3</v>
      </c>
    </row>
    <row r="291">
      <c r="A291" s="10">
        <v>22.0</v>
      </c>
      <c r="B291" s="10" t="s">
        <v>148</v>
      </c>
      <c r="C291" s="30">
        <v>45955.0</v>
      </c>
      <c r="D291" s="26"/>
      <c r="E291" s="16" t="s">
        <v>188</v>
      </c>
      <c r="F291" s="27" t="s">
        <v>330</v>
      </c>
      <c r="G291" s="28">
        <v>20.95</v>
      </c>
      <c r="H291" s="29">
        <v>6843.08</v>
      </c>
    </row>
    <row r="292">
      <c r="A292" s="10">
        <v>23.0</v>
      </c>
      <c r="B292" s="10" t="s">
        <v>148</v>
      </c>
      <c r="C292" s="30">
        <v>45955.0</v>
      </c>
      <c r="D292" s="26"/>
      <c r="E292" s="16" t="s">
        <v>58</v>
      </c>
      <c r="F292" s="27" t="s">
        <v>331</v>
      </c>
      <c r="G292" s="28">
        <v>-675.0</v>
      </c>
      <c r="H292" s="29">
        <v>6864.03</v>
      </c>
    </row>
    <row r="293">
      <c r="A293" s="10">
        <v>19.0</v>
      </c>
      <c r="B293" s="10" t="s">
        <v>148</v>
      </c>
      <c r="C293" s="30">
        <v>45957.0</v>
      </c>
      <c r="D293" s="26"/>
      <c r="E293" s="16" t="s">
        <v>16</v>
      </c>
      <c r="F293" s="27" t="s">
        <v>332</v>
      </c>
      <c r="G293" s="28">
        <v>96.25</v>
      </c>
      <c r="H293" s="29">
        <v>5494.24</v>
      </c>
    </row>
    <row r="294">
      <c r="A294" s="10">
        <v>21.0</v>
      </c>
      <c r="B294" s="10" t="s">
        <v>148</v>
      </c>
      <c r="C294" s="30">
        <v>45957.0</v>
      </c>
      <c r="D294" s="26"/>
      <c r="E294" s="16" t="s">
        <v>170</v>
      </c>
      <c r="F294" s="27" t="s">
        <v>333</v>
      </c>
      <c r="G294" s="28">
        <v>1902.59</v>
      </c>
      <c r="H294" s="29">
        <v>4940.49</v>
      </c>
    </row>
    <row r="295">
      <c r="A295" s="10">
        <v>20.0</v>
      </c>
      <c r="B295" s="10" t="s">
        <v>148</v>
      </c>
      <c r="C295" s="30">
        <v>45957.0</v>
      </c>
      <c r="D295" s="26"/>
      <c r="E295" s="16" t="s">
        <v>58</v>
      </c>
      <c r="F295" s="27" t="s">
        <v>334</v>
      </c>
      <c r="G295" s="28">
        <v>-650.0</v>
      </c>
      <c r="H295" s="29">
        <v>5590.49</v>
      </c>
    </row>
    <row r="296">
      <c r="A296" s="10">
        <v>18.0</v>
      </c>
      <c r="B296" s="10" t="s">
        <v>148</v>
      </c>
      <c r="C296" s="30">
        <v>45957.0</v>
      </c>
      <c r="D296" s="26"/>
      <c r="E296" s="16" t="s">
        <v>58</v>
      </c>
      <c r="F296" s="27" t="s">
        <v>335</v>
      </c>
      <c r="G296" s="28">
        <v>-675.0</v>
      </c>
      <c r="H296" s="29">
        <v>6169.24</v>
      </c>
    </row>
    <row r="297">
      <c r="A297" s="10">
        <v>12.0</v>
      </c>
      <c r="B297" s="10" t="s">
        <v>148</v>
      </c>
      <c r="C297" s="30">
        <v>45958.0</v>
      </c>
      <c r="D297" s="26"/>
      <c r="E297" s="12" t="s">
        <v>169</v>
      </c>
      <c r="F297" s="27" t="s">
        <v>336</v>
      </c>
      <c r="G297" s="28">
        <v>115.0</v>
      </c>
      <c r="H297" s="29">
        <v>3192.95</v>
      </c>
    </row>
    <row r="298">
      <c r="A298" s="10">
        <v>16.0</v>
      </c>
      <c r="B298" s="10" t="s">
        <v>148</v>
      </c>
      <c r="C298" s="30">
        <v>45958.0</v>
      </c>
      <c r="D298" s="26"/>
      <c r="E298" s="16" t="s">
        <v>153</v>
      </c>
      <c r="F298" s="27" t="s">
        <v>337</v>
      </c>
      <c r="G298" s="28">
        <v>2475.36</v>
      </c>
      <c r="H298" s="29">
        <v>2866.95</v>
      </c>
    </row>
    <row r="299">
      <c r="A299" s="10">
        <v>17.0</v>
      </c>
      <c r="B299" s="10" t="s">
        <v>148</v>
      </c>
      <c r="C299" s="30">
        <v>45958.0</v>
      </c>
      <c r="D299" s="26"/>
      <c r="E299" s="16" t="s">
        <v>153</v>
      </c>
      <c r="F299" s="27" t="s">
        <v>338</v>
      </c>
      <c r="G299" s="28">
        <v>826.93</v>
      </c>
      <c r="H299" s="29">
        <v>5342.31</v>
      </c>
    </row>
    <row r="300">
      <c r="A300" s="10">
        <v>13.0</v>
      </c>
      <c r="B300" s="10" t="s">
        <v>148</v>
      </c>
      <c r="C300" s="30">
        <v>45958.0</v>
      </c>
      <c r="D300" s="26"/>
      <c r="E300" s="16" t="s">
        <v>195</v>
      </c>
      <c r="F300" s="27" t="s">
        <v>339</v>
      </c>
      <c r="G300" s="28">
        <v>534.0</v>
      </c>
      <c r="H300" s="29">
        <v>3307.95</v>
      </c>
    </row>
    <row r="301">
      <c r="A301" s="10">
        <v>14.0</v>
      </c>
      <c r="B301" s="10" t="s">
        <v>148</v>
      </c>
      <c r="C301" s="30">
        <v>45958.0</v>
      </c>
      <c r="D301" s="26"/>
      <c r="E301" s="16" t="s">
        <v>58</v>
      </c>
      <c r="F301" s="27" t="s">
        <v>340</v>
      </c>
      <c r="G301" s="28">
        <v>-675.0</v>
      </c>
      <c r="H301" s="29">
        <v>3841.95</v>
      </c>
    </row>
    <row r="302">
      <c r="A302" s="10">
        <v>15.0</v>
      </c>
      <c r="B302" s="10" t="s">
        <v>148</v>
      </c>
      <c r="C302" s="30">
        <v>45958.0</v>
      </c>
      <c r="D302" s="26"/>
      <c r="E302" s="16" t="s">
        <v>148</v>
      </c>
      <c r="F302" s="27" t="s">
        <v>341</v>
      </c>
      <c r="G302" s="28">
        <v>-300.0</v>
      </c>
      <c r="H302" s="29">
        <v>3166.95</v>
      </c>
    </row>
    <row r="303">
      <c r="A303" s="10">
        <v>10.0</v>
      </c>
      <c r="B303" s="10" t="s">
        <v>148</v>
      </c>
      <c r="C303" s="30">
        <v>45959.0</v>
      </c>
      <c r="D303" s="26"/>
      <c r="E303" s="16" t="s">
        <v>140</v>
      </c>
      <c r="F303" s="27" t="s">
        <v>298</v>
      </c>
      <c r="G303" s="28">
        <v>61.5</v>
      </c>
      <c r="H303" s="29">
        <v>3133.17</v>
      </c>
    </row>
    <row r="304">
      <c r="A304" s="10">
        <v>11.0</v>
      </c>
      <c r="B304" s="10" t="s">
        <v>148</v>
      </c>
      <c r="C304" s="30">
        <v>45959.0</v>
      </c>
      <c r="D304" s="26"/>
      <c r="E304" s="16" t="s">
        <v>148</v>
      </c>
      <c r="F304" s="27" t="s">
        <v>342</v>
      </c>
      <c r="G304" s="28">
        <v>-1.72</v>
      </c>
      <c r="H304" s="29">
        <v>3194.67</v>
      </c>
    </row>
    <row r="305">
      <c r="A305" s="10">
        <v>9.0</v>
      </c>
      <c r="B305" s="10" t="s">
        <v>148</v>
      </c>
      <c r="C305" s="30">
        <v>45960.0</v>
      </c>
      <c r="D305" s="26"/>
      <c r="E305" s="16" t="s">
        <v>136</v>
      </c>
      <c r="F305" s="27" t="s">
        <v>276</v>
      </c>
      <c r="G305" s="28">
        <v>11.48</v>
      </c>
      <c r="H305" s="29">
        <v>3121.69</v>
      </c>
    </row>
    <row r="306">
      <c r="A306" s="10">
        <v>5.0</v>
      </c>
      <c r="B306" s="10" t="s">
        <v>148</v>
      </c>
      <c r="C306" s="30">
        <v>45961.0</v>
      </c>
      <c r="D306" s="26"/>
      <c r="E306" s="16" t="s">
        <v>37</v>
      </c>
      <c r="F306" s="27" t="s">
        <v>343</v>
      </c>
      <c r="G306" s="28">
        <v>31.19</v>
      </c>
      <c r="H306" s="29">
        <v>3908.14</v>
      </c>
    </row>
    <row r="307">
      <c r="A307" s="10">
        <v>7.0</v>
      </c>
      <c r="B307" s="10" t="s">
        <v>148</v>
      </c>
      <c r="C307" s="30">
        <v>45961.0</v>
      </c>
      <c r="D307" s="26"/>
      <c r="E307" s="16" t="s">
        <v>170</v>
      </c>
      <c r="F307" s="27" t="s">
        <v>344</v>
      </c>
      <c r="G307" s="28">
        <v>1027.36</v>
      </c>
      <c r="H307" s="29">
        <v>3264.33</v>
      </c>
    </row>
    <row r="308">
      <c r="A308" s="10">
        <v>1.0</v>
      </c>
      <c r="B308" s="10" t="s">
        <v>148</v>
      </c>
      <c r="C308" s="30">
        <v>45961.0</v>
      </c>
      <c r="D308" s="26"/>
      <c r="E308" s="16" t="s">
        <v>182</v>
      </c>
      <c r="F308" s="27" t="s">
        <v>345</v>
      </c>
      <c r="G308" s="28">
        <v>380.0</v>
      </c>
      <c r="H308" s="29">
        <v>3858.14</v>
      </c>
    </row>
    <row r="309">
      <c r="A309" s="10">
        <v>2.0</v>
      </c>
      <c r="B309" s="10" t="s">
        <v>148</v>
      </c>
      <c r="C309" s="30">
        <v>45961.0</v>
      </c>
      <c r="D309" s="26"/>
      <c r="E309" s="16" t="s">
        <v>168</v>
      </c>
      <c r="F309" s="27" t="s">
        <v>346</v>
      </c>
      <c r="G309" s="28">
        <v>295.0</v>
      </c>
      <c r="H309" s="29">
        <v>4238.14</v>
      </c>
    </row>
    <row r="310">
      <c r="A310" s="10">
        <v>3.0</v>
      </c>
      <c r="B310" s="10" t="s">
        <v>148</v>
      </c>
      <c r="C310" s="30">
        <v>45961.0</v>
      </c>
      <c r="D310" s="26"/>
      <c r="E310" s="16" t="s">
        <v>58</v>
      </c>
      <c r="F310" s="27" t="s">
        <v>347</v>
      </c>
      <c r="G310" s="28">
        <v>-675.0</v>
      </c>
      <c r="H310" s="29">
        <v>4533.14</v>
      </c>
    </row>
    <row r="311">
      <c r="A311" s="10">
        <v>6.0</v>
      </c>
      <c r="B311" s="10" t="s">
        <v>148</v>
      </c>
      <c r="C311" s="30">
        <v>45961.0</v>
      </c>
      <c r="D311" s="26"/>
      <c r="E311" s="16" t="s">
        <v>58</v>
      </c>
      <c r="F311" s="27" t="s">
        <v>348</v>
      </c>
      <c r="G311" s="28">
        <v>-675.0</v>
      </c>
      <c r="H311" s="29">
        <v>3939.33</v>
      </c>
    </row>
    <row r="312">
      <c r="A312" s="10">
        <v>8.0</v>
      </c>
      <c r="B312" s="10" t="s">
        <v>148</v>
      </c>
      <c r="C312" s="30">
        <v>45961.0</v>
      </c>
      <c r="D312" s="26"/>
      <c r="E312" s="16" t="s">
        <v>58</v>
      </c>
      <c r="F312" s="27" t="s">
        <v>349</v>
      </c>
      <c r="G312" s="28">
        <v>-1170.0</v>
      </c>
      <c r="H312" s="29">
        <v>4291.69</v>
      </c>
    </row>
    <row r="313">
      <c r="A313" s="10">
        <v>4.0</v>
      </c>
      <c r="B313" s="10" t="s">
        <v>148</v>
      </c>
      <c r="C313" s="30">
        <v>45961.0</v>
      </c>
      <c r="D313" s="26"/>
      <c r="E313" s="16" t="s">
        <v>113</v>
      </c>
      <c r="F313" s="27" t="s">
        <v>350</v>
      </c>
      <c r="G313" s="28">
        <v>50.0</v>
      </c>
      <c r="H313" s="29">
        <v>3858.14</v>
      </c>
    </row>
    <row r="314">
      <c r="A314" s="10">
        <v>160.0</v>
      </c>
      <c r="B314" s="3" t="s">
        <v>351</v>
      </c>
      <c r="C314" s="31">
        <v>45931.0</v>
      </c>
      <c r="D314" s="3"/>
      <c r="E314" s="16" t="s">
        <v>41</v>
      </c>
      <c r="F314" s="19" t="s">
        <v>352</v>
      </c>
      <c r="G314" s="28">
        <v>5.99</v>
      </c>
      <c r="H314" s="11">
        <v>31.37</v>
      </c>
    </row>
    <row r="315">
      <c r="A315" s="10">
        <v>161.0</v>
      </c>
      <c r="B315" s="3" t="s">
        <v>351</v>
      </c>
      <c r="C315" s="31">
        <v>45932.0</v>
      </c>
      <c r="D315" s="3"/>
      <c r="E315" s="16" t="s">
        <v>198</v>
      </c>
      <c r="F315" s="19" t="s">
        <v>353</v>
      </c>
      <c r="G315" s="28">
        <v>19.0</v>
      </c>
      <c r="H315" s="11">
        <v>12.37</v>
      </c>
    </row>
    <row r="316">
      <c r="A316" s="10">
        <v>162.0</v>
      </c>
      <c r="B316" s="3" t="s">
        <v>351</v>
      </c>
      <c r="C316" s="31">
        <v>45932.0</v>
      </c>
      <c r="D316" s="3"/>
      <c r="E316" s="12" t="s">
        <v>202</v>
      </c>
      <c r="F316" s="19" t="s">
        <v>354</v>
      </c>
      <c r="G316" s="28">
        <v>-100.0</v>
      </c>
      <c r="H316" s="11">
        <v>112.37</v>
      </c>
    </row>
    <row r="317">
      <c r="A317" s="10">
        <v>163.0</v>
      </c>
      <c r="B317" s="3" t="s">
        <v>351</v>
      </c>
      <c r="C317" s="31">
        <v>45933.0</v>
      </c>
      <c r="D317" s="3"/>
      <c r="E317" s="16" t="s">
        <v>200</v>
      </c>
      <c r="F317" s="19" t="s">
        <v>355</v>
      </c>
      <c r="G317" s="28">
        <v>17.95</v>
      </c>
      <c r="H317" s="11">
        <v>94.42</v>
      </c>
    </row>
    <row r="318">
      <c r="A318" s="10">
        <v>164.0</v>
      </c>
      <c r="B318" s="3" t="s">
        <v>351</v>
      </c>
      <c r="C318" s="31">
        <v>45935.0</v>
      </c>
      <c r="D318" s="3"/>
      <c r="E318" s="16" t="s">
        <v>41</v>
      </c>
      <c r="F318" s="19" t="s">
        <v>352</v>
      </c>
      <c r="G318" s="28">
        <v>5.99</v>
      </c>
      <c r="H318" s="11">
        <v>88.43</v>
      </c>
    </row>
    <row r="319">
      <c r="A319" s="10">
        <v>165.0</v>
      </c>
      <c r="B319" s="3" t="s">
        <v>351</v>
      </c>
      <c r="C319" s="32">
        <v>45944.0</v>
      </c>
      <c r="D319" s="3"/>
      <c r="E319" s="16" t="s">
        <v>200</v>
      </c>
      <c r="F319" s="19" t="s">
        <v>355</v>
      </c>
      <c r="G319" s="28">
        <v>17.95</v>
      </c>
      <c r="H319" s="11">
        <v>70.48</v>
      </c>
    </row>
    <row r="320">
      <c r="A320" s="10">
        <v>166.0</v>
      </c>
      <c r="B320" s="3" t="s">
        <v>351</v>
      </c>
      <c r="C320" s="32">
        <v>45944.0</v>
      </c>
      <c r="D320" s="3"/>
      <c r="E320" s="12" t="s">
        <v>202</v>
      </c>
      <c r="F320" s="19" t="s">
        <v>354</v>
      </c>
      <c r="G320" s="28">
        <v>-100.0</v>
      </c>
      <c r="H320" s="11">
        <v>170.48</v>
      </c>
    </row>
    <row r="321">
      <c r="A321" s="10">
        <v>167.0</v>
      </c>
      <c r="B321" s="3" t="s">
        <v>351</v>
      </c>
      <c r="C321" s="32">
        <v>45945.0</v>
      </c>
      <c r="D321" s="3"/>
      <c r="E321" s="16" t="s">
        <v>200</v>
      </c>
      <c r="F321" s="19" t="s">
        <v>355</v>
      </c>
      <c r="G321" s="28">
        <v>17.95</v>
      </c>
      <c r="H321" s="11">
        <v>152.53</v>
      </c>
    </row>
    <row r="322">
      <c r="A322" s="10">
        <v>168.0</v>
      </c>
      <c r="B322" s="3" t="s">
        <v>351</v>
      </c>
      <c r="C322" s="32">
        <v>45946.0</v>
      </c>
      <c r="D322" s="3"/>
      <c r="E322" s="16" t="s">
        <v>307</v>
      </c>
      <c r="F322" s="19" t="s">
        <v>356</v>
      </c>
      <c r="G322" s="28">
        <v>20.95</v>
      </c>
      <c r="H322" s="11">
        <v>131.58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54.88"/>
  </cols>
  <sheetData>
    <row r="1">
      <c r="A1" s="33" t="s">
        <v>3</v>
      </c>
      <c r="B1" s="34" t="s">
        <v>4</v>
      </c>
      <c r="C1" s="34" t="s">
        <v>5</v>
      </c>
      <c r="D1" s="34" t="s">
        <v>6</v>
      </c>
      <c r="E1" s="34" t="s">
        <v>357</v>
      </c>
      <c r="F1" s="34" t="s">
        <v>7</v>
      </c>
      <c r="G1" s="34" t="s">
        <v>8</v>
      </c>
      <c r="H1" s="35" t="s">
        <v>9</v>
      </c>
      <c r="I1" s="36" t="s">
        <v>10</v>
      </c>
      <c r="J1" s="37"/>
    </row>
    <row r="2">
      <c r="A2" s="38">
        <v>3.0</v>
      </c>
      <c r="B2" s="39" t="s">
        <v>148</v>
      </c>
      <c r="C2" s="40">
        <v>45961.0</v>
      </c>
      <c r="D2" s="41"/>
      <c r="E2" s="39" t="s">
        <v>358</v>
      </c>
      <c r="F2" s="39" t="s">
        <v>58</v>
      </c>
      <c r="G2" s="39" t="s">
        <v>347</v>
      </c>
      <c r="H2" s="42">
        <v>-675.0</v>
      </c>
      <c r="I2" s="43">
        <v>4533.14</v>
      </c>
      <c r="J2" s="44"/>
    </row>
    <row r="3">
      <c r="A3" s="45"/>
      <c r="B3" s="39" t="s">
        <v>359</v>
      </c>
      <c r="C3" s="46"/>
      <c r="D3" s="46"/>
      <c r="E3" s="39" t="s">
        <v>358</v>
      </c>
      <c r="F3" s="46"/>
      <c r="G3" s="39" t="s">
        <v>359</v>
      </c>
      <c r="H3" s="47">
        <v>675.0</v>
      </c>
      <c r="I3" s="48"/>
    </row>
    <row r="4">
      <c r="A4" s="45"/>
      <c r="B4" s="39" t="s">
        <v>359</v>
      </c>
      <c r="C4" s="46"/>
      <c r="D4" s="46"/>
      <c r="E4" s="39" t="s">
        <v>358</v>
      </c>
      <c r="F4" s="46"/>
      <c r="G4" s="39" t="s">
        <v>359</v>
      </c>
      <c r="H4" s="47">
        <v>-650.0</v>
      </c>
      <c r="I4" s="48"/>
    </row>
    <row r="5">
      <c r="A5" s="38">
        <v>182.0</v>
      </c>
      <c r="B5" s="39" t="s">
        <v>11</v>
      </c>
      <c r="C5" s="39">
        <v>1.0</v>
      </c>
      <c r="D5" s="39" t="s">
        <v>12</v>
      </c>
      <c r="E5" s="39" t="s">
        <v>358</v>
      </c>
      <c r="F5" s="39" t="s">
        <v>58</v>
      </c>
      <c r="G5" s="39" t="s">
        <v>59</v>
      </c>
      <c r="H5" s="42">
        <v>650.0</v>
      </c>
      <c r="I5" s="49"/>
      <c r="J5" s="50"/>
    </row>
    <row r="6">
      <c r="A6" s="38">
        <v>183.0</v>
      </c>
      <c r="B6" s="39" t="s">
        <v>11</v>
      </c>
      <c r="C6" s="39">
        <v>1.0</v>
      </c>
      <c r="D6" s="39" t="s">
        <v>12</v>
      </c>
      <c r="E6" s="39" t="s">
        <v>360</v>
      </c>
      <c r="F6" s="39" t="s">
        <v>58</v>
      </c>
      <c r="G6" s="39" t="s">
        <v>60</v>
      </c>
      <c r="H6" s="42">
        <v>675.0</v>
      </c>
      <c r="I6" s="49"/>
      <c r="J6" s="50"/>
    </row>
    <row r="7">
      <c r="A7" s="38">
        <v>67.0</v>
      </c>
      <c r="B7" s="39" t="s">
        <v>148</v>
      </c>
      <c r="C7" s="51">
        <v>45932.0</v>
      </c>
      <c r="D7" s="41"/>
      <c r="E7" s="39" t="s">
        <v>360</v>
      </c>
      <c r="F7" s="39" t="s">
        <v>58</v>
      </c>
      <c r="G7" s="39" t="s">
        <v>289</v>
      </c>
      <c r="H7" s="42">
        <v>-675.0</v>
      </c>
      <c r="I7" s="43">
        <v>42708.63</v>
      </c>
      <c r="J7" s="44"/>
    </row>
    <row r="8">
      <c r="A8" s="38">
        <v>184.0</v>
      </c>
      <c r="B8" s="39" t="s">
        <v>11</v>
      </c>
      <c r="C8" s="39">
        <v>1.0</v>
      </c>
      <c r="D8" s="39" t="s">
        <v>12</v>
      </c>
      <c r="E8" s="39" t="s">
        <v>361</v>
      </c>
      <c r="F8" s="39" t="s">
        <v>58</v>
      </c>
      <c r="G8" s="39" t="s">
        <v>61</v>
      </c>
      <c r="H8" s="42">
        <v>675.0</v>
      </c>
      <c r="I8" s="49"/>
      <c r="J8" s="50"/>
    </row>
    <row r="9">
      <c r="A9" s="38">
        <v>115.0</v>
      </c>
      <c r="B9" s="39" t="s">
        <v>148</v>
      </c>
      <c r="C9" s="51">
        <v>45931.0</v>
      </c>
      <c r="D9" s="41"/>
      <c r="E9" s="39" t="s">
        <v>361</v>
      </c>
      <c r="F9" s="39" t="s">
        <v>58</v>
      </c>
      <c r="G9" s="39" t="s">
        <v>244</v>
      </c>
      <c r="H9" s="42">
        <v>-675.0</v>
      </c>
      <c r="I9" s="43">
        <v>34785.04</v>
      </c>
      <c r="J9" s="44"/>
    </row>
    <row r="10">
      <c r="A10" s="38">
        <v>185.0</v>
      </c>
      <c r="B10" s="39" t="s">
        <v>11</v>
      </c>
      <c r="C10" s="39">
        <v>1.0</v>
      </c>
      <c r="D10" s="39" t="s">
        <v>12</v>
      </c>
      <c r="E10" s="39" t="s">
        <v>362</v>
      </c>
      <c r="F10" s="39" t="s">
        <v>58</v>
      </c>
      <c r="G10" s="39" t="s">
        <v>62</v>
      </c>
      <c r="H10" s="42">
        <v>675.0</v>
      </c>
      <c r="I10" s="49"/>
      <c r="J10" s="50"/>
    </row>
    <row r="11">
      <c r="A11" s="38">
        <v>158.0</v>
      </c>
      <c r="B11" s="39" t="s">
        <v>148</v>
      </c>
      <c r="C11" s="51">
        <v>45931.0</v>
      </c>
      <c r="D11" s="41"/>
      <c r="E11" s="39" t="s">
        <v>362</v>
      </c>
      <c r="F11" s="39" t="s">
        <v>58</v>
      </c>
      <c r="G11" s="39" t="s">
        <v>249</v>
      </c>
      <c r="H11" s="42">
        <v>-675.0</v>
      </c>
      <c r="I11" s="43">
        <v>34257.44</v>
      </c>
      <c r="J11" s="44"/>
    </row>
    <row r="12">
      <c r="A12" s="38">
        <v>186.0</v>
      </c>
      <c r="B12" s="39" t="s">
        <v>11</v>
      </c>
      <c r="C12" s="39">
        <v>1.0</v>
      </c>
      <c r="D12" s="39" t="s">
        <v>12</v>
      </c>
      <c r="E12" s="39" t="s">
        <v>363</v>
      </c>
      <c r="F12" s="39" t="s">
        <v>58</v>
      </c>
      <c r="G12" s="39" t="s">
        <v>63</v>
      </c>
      <c r="H12" s="42">
        <v>689.51</v>
      </c>
      <c r="I12" s="49"/>
      <c r="J12" s="50"/>
    </row>
    <row r="13">
      <c r="A13" s="38">
        <v>97.0</v>
      </c>
      <c r="B13" s="39" t="s">
        <v>148</v>
      </c>
      <c r="C13" s="51">
        <v>45931.0</v>
      </c>
      <c r="D13" s="41"/>
      <c r="E13" s="39" t="s">
        <v>363</v>
      </c>
      <c r="F13" s="39" t="s">
        <v>58</v>
      </c>
      <c r="G13" s="39" t="s">
        <v>230</v>
      </c>
      <c r="H13" s="42">
        <v>-283.06</v>
      </c>
      <c r="I13" s="43">
        <v>40297.95</v>
      </c>
      <c r="J13" s="44"/>
    </row>
    <row r="14">
      <c r="A14" s="38">
        <v>88.0</v>
      </c>
      <c r="B14" s="39" t="s">
        <v>148</v>
      </c>
      <c r="C14" s="51">
        <v>45931.0</v>
      </c>
      <c r="D14" s="41"/>
      <c r="E14" s="39" t="s">
        <v>363</v>
      </c>
      <c r="F14" s="39" t="s">
        <v>58</v>
      </c>
      <c r="G14" s="39" t="s">
        <v>231</v>
      </c>
      <c r="H14" s="42">
        <v>-406.45</v>
      </c>
      <c r="I14" s="43">
        <v>44688.41</v>
      </c>
      <c r="J14" s="44"/>
    </row>
    <row r="15">
      <c r="A15" s="38">
        <v>187.0</v>
      </c>
      <c r="B15" s="39" t="s">
        <v>11</v>
      </c>
      <c r="C15" s="39">
        <v>1.0</v>
      </c>
      <c r="D15" s="39" t="s">
        <v>12</v>
      </c>
      <c r="E15" s="39" t="s">
        <v>364</v>
      </c>
      <c r="F15" s="39" t="s">
        <v>58</v>
      </c>
      <c r="G15" s="39" t="s">
        <v>64</v>
      </c>
      <c r="H15" s="42">
        <v>650.0</v>
      </c>
      <c r="I15" s="49"/>
      <c r="J15" s="50"/>
    </row>
    <row r="16">
      <c r="A16" s="38">
        <v>110.0</v>
      </c>
      <c r="B16" s="39" t="s">
        <v>148</v>
      </c>
      <c r="C16" s="51">
        <v>45931.0</v>
      </c>
      <c r="D16" s="41"/>
      <c r="E16" s="39" t="s">
        <v>364</v>
      </c>
      <c r="F16" s="39" t="s">
        <v>58</v>
      </c>
      <c r="G16" s="39" t="s">
        <v>235</v>
      </c>
      <c r="H16" s="42">
        <v>-650.0</v>
      </c>
      <c r="I16" s="43">
        <v>34166.57</v>
      </c>
      <c r="J16" s="44"/>
    </row>
    <row r="17">
      <c r="A17" s="38">
        <v>188.0</v>
      </c>
      <c r="B17" s="39" t="s">
        <v>11</v>
      </c>
      <c r="C17" s="39">
        <v>1.0</v>
      </c>
      <c r="D17" s="39" t="s">
        <v>12</v>
      </c>
      <c r="E17" s="39" t="s">
        <v>365</v>
      </c>
      <c r="F17" s="39" t="s">
        <v>58</v>
      </c>
      <c r="G17" s="39" t="s">
        <v>65</v>
      </c>
      <c r="H17" s="42">
        <v>675.0</v>
      </c>
      <c r="I17" s="49"/>
      <c r="J17" s="50"/>
    </row>
    <row r="18">
      <c r="A18" s="38">
        <v>98.0</v>
      </c>
      <c r="B18" s="39" t="s">
        <v>148</v>
      </c>
      <c r="C18" s="51">
        <v>45931.0</v>
      </c>
      <c r="D18" s="41"/>
      <c r="E18" s="39" t="s">
        <v>365</v>
      </c>
      <c r="F18" s="39" t="s">
        <v>58</v>
      </c>
      <c r="G18" s="39" t="s">
        <v>241</v>
      </c>
      <c r="H18" s="42">
        <v>-675.0</v>
      </c>
      <c r="I18" s="43">
        <v>40014.89</v>
      </c>
      <c r="J18" s="44"/>
    </row>
    <row r="19">
      <c r="A19" s="38">
        <v>189.0</v>
      </c>
      <c r="B19" s="39" t="s">
        <v>11</v>
      </c>
      <c r="C19" s="39">
        <v>1.0</v>
      </c>
      <c r="D19" s="39" t="s">
        <v>12</v>
      </c>
      <c r="E19" s="39" t="s">
        <v>366</v>
      </c>
      <c r="F19" s="39" t="s">
        <v>58</v>
      </c>
      <c r="G19" s="39" t="s">
        <v>66</v>
      </c>
      <c r="H19" s="42">
        <v>625.0</v>
      </c>
      <c r="I19" s="49"/>
      <c r="J19" s="50"/>
    </row>
    <row r="20">
      <c r="A20" s="38">
        <v>20.0</v>
      </c>
      <c r="B20" s="39" t="s">
        <v>148</v>
      </c>
      <c r="C20" s="40">
        <v>45957.0</v>
      </c>
      <c r="D20" s="41"/>
      <c r="E20" s="39" t="s">
        <v>366</v>
      </c>
      <c r="F20" s="39" t="s">
        <v>58</v>
      </c>
      <c r="G20" s="39" t="s">
        <v>334</v>
      </c>
      <c r="H20" s="42">
        <v>-650.0</v>
      </c>
      <c r="I20" s="43">
        <v>5590.49</v>
      </c>
      <c r="J20" s="44"/>
    </row>
    <row r="21">
      <c r="A21" s="52"/>
      <c r="B21" s="39" t="s">
        <v>359</v>
      </c>
      <c r="C21" s="53"/>
      <c r="D21" s="41"/>
      <c r="E21" s="39" t="s">
        <v>366</v>
      </c>
      <c r="F21" s="53"/>
      <c r="G21" s="39" t="s">
        <v>359</v>
      </c>
      <c r="H21" s="39">
        <v>650.0</v>
      </c>
      <c r="I21" s="54"/>
      <c r="J21" s="55">
        <f>-625-650-675-675-675-675-875-1170-675+675+650+675+675+1170+675+675</f>
        <v>-1500</v>
      </c>
    </row>
    <row r="22">
      <c r="A22" s="45"/>
      <c r="B22" s="39" t="s">
        <v>359</v>
      </c>
      <c r="C22" s="46"/>
      <c r="D22" s="46"/>
      <c r="E22" s="47" t="s">
        <v>366</v>
      </c>
      <c r="F22" s="46"/>
      <c r="G22" s="39" t="s">
        <v>359</v>
      </c>
      <c r="H22" s="47">
        <v>-625.0</v>
      </c>
      <c r="I22" s="48"/>
    </row>
    <row r="23">
      <c r="A23" s="38">
        <v>190.0</v>
      </c>
      <c r="B23" s="39" t="s">
        <v>11</v>
      </c>
      <c r="C23" s="39">
        <v>1.0</v>
      </c>
      <c r="D23" s="39" t="s">
        <v>12</v>
      </c>
      <c r="E23" s="39" t="s">
        <v>367</v>
      </c>
      <c r="F23" s="39" t="s">
        <v>58</v>
      </c>
      <c r="G23" s="39" t="s">
        <v>67</v>
      </c>
      <c r="H23" s="42">
        <v>650.0</v>
      </c>
      <c r="I23" s="49"/>
      <c r="J23" s="50"/>
    </row>
    <row r="24">
      <c r="A24" s="38">
        <v>104.0</v>
      </c>
      <c r="B24" s="39" t="s">
        <v>148</v>
      </c>
      <c r="C24" s="51">
        <v>45931.0</v>
      </c>
      <c r="D24" s="41"/>
      <c r="E24" s="39" t="s">
        <v>367</v>
      </c>
      <c r="F24" s="39" t="s">
        <v>58</v>
      </c>
      <c r="G24" s="39" t="s">
        <v>232</v>
      </c>
      <c r="H24" s="42">
        <v>-650.0</v>
      </c>
      <c r="I24" s="43">
        <v>37371.37</v>
      </c>
      <c r="J24" s="44"/>
    </row>
    <row r="25">
      <c r="A25" s="38">
        <v>191.0</v>
      </c>
      <c r="B25" s="39" t="s">
        <v>11</v>
      </c>
      <c r="C25" s="39">
        <v>1.0</v>
      </c>
      <c r="D25" s="39" t="s">
        <v>12</v>
      </c>
      <c r="E25" s="39" t="s">
        <v>368</v>
      </c>
      <c r="F25" s="39" t="s">
        <v>58</v>
      </c>
      <c r="G25" s="39" t="s">
        <v>68</v>
      </c>
      <c r="H25" s="42">
        <v>675.0</v>
      </c>
      <c r="I25" s="49"/>
      <c r="J25" s="50"/>
    </row>
    <row r="26">
      <c r="A26" s="38">
        <v>94.0</v>
      </c>
      <c r="B26" s="39" t="s">
        <v>148</v>
      </c>
      <c r="C26" s="51">
        <v>45931.0</v>
      </c>
      <c r="D26" s="41"/>
      <c r="E26" s="39" t="s">
        <v>368</v>
      </c>
      <c r="F26" s="39" t="s">
        <v>58</v>
      </c>
      <c r="G26" s="39" t="s">
        <v>240</v>
      </c>
      <c r="H26" s="42">
        <v>-675.0</v>
      </c>
      <c r="I26" s="43">
        <v>41642.95</v>
      </c>
      <c r="J26" s="44"/>
    </row>
    <row r="27">
      <c r="A27" s="38">
        <v>192.0</v>
      </c>
      <c r="B27" s="39" t="s">
        <v>11</v>
      </c>
      <c r="C27" s="39">
        <v>1.0</v>
      </c>
      <c r="D27" s="39" t="s">
        <v>12</v>
      </c>
      <c r="E27" s="39" t="s">
        <v>369</v>
      </c>
      <c r="F27" s="39" t="s">
        <v>58</v>
      </c>
      <c r="G27" s="39" t="s">
        <v>69</v>
      </c>
      <c r="H27" s="42">
        <v>675.0</v>
      </c>
      <c r="I27" s="49"/>
      <c r="J27" s="50"/>
    </row>
    <row r="28">
      <c r="A28" s="38">
        <v>93.0</v>
      </c>
      <c r="B28" s="39" t="s">
        <v>148</v>
      </c>
      <c r="C28" s="51">
        <v>45931.0</v>
      </c>
      <c r="D28" s="41"/>
      <c r="E28" s="39" t="s">
        <v>369</v>
      </c>
      <c r="F28" s="39" t="s">
        <v>58</v>
      </c>
      <c r="G28" s="39" t="s">
        <v>239</v>
      </c>
      <c r="H28" s="42">
        <v>-675.0</v>
      </c>
      <c r="I28" s="43">
        <v>42317.95</v>
      </c>
      <c r="J28" s="44"/>
    </row>
    <row r="29">
      <c r="A29" s="38">
        <v>87.0</v>
      </c>
      <c r="B29" s="39" t="s">
        <v>148</v>
      </c>
      <c r="C29" s="51">
        <v>45932.0</v>
      </c>
      <c r="D29" s="41"/>
      <c r="E29" s="39" t="s">
        <v>370</v>
      </c>
      <c r="F29" s="39" t="s">
        <v>58</v>
      </c>
      <c r="G29" s="39" t="s">
        <v>292</v>
      </c>
      <c r="H29" s="42">
        <v>-700.0</v>
      </c>
      <c r="I29" s="43">
        <v>45388.41</v>
      </c>
      <c r="J29" s="44"/>
    </row>
    <row r="30">
      <c r="A30" s="38">
        <v>193.0</v>
      </c>
      <c r="B30" s="39" t="s">
        <v>11</v>
      </c>
      <c r="C30" s="39">
        <v>1.0</v>
      </c>
      <c r="D30" s="39" t="s">
        <v>12</v>
      </c>
      <c r="E30" s="39" t="s">
        <v>370</v>
      </c>
      <c r="F30" s="39" t="s">
        <v>58</v>
      </c>
      <c r="G30" s="39" t="s">
        <v>70</v>
      </c>
      <c r="H30" s="42">
        <v>700.0</v>
      </c>
      <c r="I30" s="49"/>
      <c r="J30" s="50"/>
    </row>
    <row r="31">
      <c r="A31" s="38">
        <v>99.0</v>
      </c>
      <c r="B31" s="39" t="s">
        <v>148</v>
      </c>
      <c r="C31" s="51">
        <v>45931.0</v>
      </c>
      <c r="D31" s="41"/>
      <c r="E31" s="39" t="s">
        <v>371</v>
      </c>
      <c r="F31" s="39" t="s">
        <v>58</v>
      </c>
      <c r="G31" s="39" t="s">
        <v>251</v>
      </c>
      <c r="H31" s="42">
        <v>-700.0</v>
      </c>
      <c r="I31" s="43">
        <v>39339.89</v>
      </c>
      <c r="J31" s="44"/>
    </row>
    <row r="32">
      <c r="A32" s="38">
        <v>44.0</v>
      </c>
      <c r="B32" s="39" t="s">
        <v>148</v>
      </c>
      <c r="C32" s="40">
        <v>45945.0</v>
      </c>
      <c r="D32" s="41"/>
      <c r="E32" s="39" t="s">
        <v>371</v>
      </c>
      <c r="F32" s="39" t="s">
        <v>58</v>
      </c>
      <c r="G32" s="39" t="s">
        <v>296</v>
      </c>
      <c r="H32" s="42">
        <v>-233.87</v>
      </c>
      <c r="I32" s="43">
        <v>9959.32</v>
      </c>
      <c r="J32" s="44"/>
    </row>
    <row r="33">
      <c r="A33" s="38">
        <v>30.0</v>
      </c>
      <c r="B33" s="39" t="s">
        <v>148</v>
      </c>
      <c r="C33" s="40">
        <v>45950.0</v>
      </c>
      <c r="D33" s="41"/>
      <c r="E33" s="39" t="s">
        <v>371</v>
      </c>
      <c r="F33" s="39" t="s">
        <v>58</v>
      </c>
      <c r="G33" s="39" t="s">
        <v>323</v>
      </c>
      <c r="H33" s="42">
        <v>225.8</v>
      </c>
      <c r="I33" s="43">
        <v>7989.09</v>
      </c>
      <c r="J33" s="44"/>
    </row>
    <row r="34">
      <c r="A34" s="38">
        <v>194.0</v>
      </c>
      <c r="B34" s="39" t="s">
        <v>11</v>
      </c>
      <c r="C34" s="39">
        <v>1.0</v>
      </c>
      <c r="D34" s="39" t="s">
        <v>12</v>
      </c>
      <c r="E34" s="39" t="s">
        <v>371</v>
      </c>
      <c r="F34" s="39" t="s">
        <v>58</v>
      </c>
      <c r="G34" s="39" t="s">
        <v>71</v>
      </c>
      <c r="H34" s="42">
        <v>708.0699999999999</v>
      </c>
      <c r="I34" s="49"/>
      <c r="J34" s="50"/>
    </row>
    <row r="35">
      <c r="A35" s="38">
        <v>75.0</v>
      </c>
      <c r="B35" s="39" t="s">
        <v>148</v>
      </c>
      <c r="C35" s="51">
        <v>45932.0</v>
      </c>
      <c r="D35" s="41"/>
      <c r="E35" s="39" t="s">
        <v>372</v>
      </c>
      <c r="F35" s="39" t="s">
        <v>58</v>
      </c>
      <c r="G35" s="39" t="s">
        <v>291</v>
      </c>
      <c r="H35" s="42">
        <v>-675.0</v>
      </c>
      <c r="I35" s="43">
        <v>44581.26</v>
      </c>
      <c r="J35" s="44"/>
    </row>
    <row r="36">
      <c r="A36" s="38">
        <v>195.0</v>
      </c>
      <c r="B36" s="39" t="s">
        <v>11</v>
      </c>
      <c r="C36" s="39">
        <v>1.0</v>
      </c>
      <c r="D36" s="39" t="s">
        <v>12</v>
      </c>
      <c r="E36" s="39" t="s">
        <v>372</v>
      </c>
      <c r="F36" s="39" t="s">
        <v>58</v>
      </c>
      <c r="G36" s="39" t="s">
        <v>72</v>
      </c>
      <c r="H36" s="42">
        <v>675.0</v>
      </c>
      <c r="I36" s="49"/>
      <c r="J36" s="50"/>
    </row>
    <row r="37">
      <c r="A37" s="38">
        <v>141.0</v>
      </c>
      <c r="B37" s="39" t="s">
        <v>148</v>
      </c>
      <c r="C37" s="51">
        <v>45931.0</v>
      </c>
      <c r="D37" s="41"/>
      <c r="E37" s="39" t="s">
        <v>373</v>
      </c>
      <c r="F37" s="39" t="s">
        <v>58</v>
      </c>
      <c r="G37" s="39" t="s">
        <v>254</v>
      </c>
      <c r="H37" s="42">
        <v>-750.0</v>
      </c>
      <c r="I37" s="43">
        <v>34583.59</v>
      </c>
      <c r="J37" s="44"/>
    </row>
    <row r="38">
      <c r="A38" s="38">
        <v>196.0</v>
      </c>
      <c r="B38" s="39" t="s">
        <v>11</v>
      </c>
      <c r="C38" s="39">
        <v>1.0</v>
      </c>
      <c r="D38" s="39" t="s">
        <v>12</v>
      </c>
      <c r="E38" s="39" t="s">
        <v>373</v>
      </c>
      <c r="F38" s="39" t="s">
        <v>58</v>
      </c>
      <c r="G38" s="39" t="s">
        <v>73</v>
      </c>
      <c r="H38" s="42">
        <v>750.0</v>
      </c>
      <c r="I38" s="49"/>
      <c r="J38" s="50"/>
    </row>
    <row r="39">
      <c r="A39" s="38">
        <v>95.0</v>
      </c>
      <c r="B39" s="39" t="s">
        <v>148</v>
      </c>
      <c r="C39" s="51">
        <v>45931.0</v>
      </c>
      <c r="D39" s="41"/>
      <c r="E39" s="39" t="s">
        <v>374</v>
      </c>
      <c r="F39" s="39" t="s">
        <v>58</v>
      </c>
      <c r="G39" s="39" t="s">
        <v>252</v>
      </c>
      <c r="H39" s="42">
        <v>-725.0</v>
      </c>
      <c r="I39" s="43">
        <v>40967.95</v>
      </c>
      <c r="J39" s="44"/>
    </row>
    <row r="40">
      <c r="A40" s="38">
        <v>197.0</v>
      </c>
      <c r="B40" s="39" t="s">
        <v>11</v>
      </c>
      <c r="C40" s="39">
        <v>1.0</v>
      </c>
      <c r="D40" s="39" t="s">
        <v>12</v>
      </c>
      <c r="E40" s="39" t="s">
        <v>374</v>
      </c>
      <c r="F40" s="39" t="s">
        <v>58</v>
      </c>
      <c r="G40" s="39" t="s">
        <v>74</v>
      </c>
      <c r="H40" s="42">
        <v>725.0</v>
      </c>
      <c r="I40" s="49"/>
      <c r="J40" s="50"/>
    </row>
    <row r="41">
      <c r="A41" s="38">
        <v>198.0</v>
      </c>
      <c r="B41" s="39" t="s">
        <v>11</v>
      </c>
      <c r="C41" s="39">
        <v>1.0</v>
      </c>
      <c r="D41" s="39" t="s">
        <v>12</v>
      </c>
      <c r="E41" s="39" t="s">
        <v>375</v>
      </c>
      <c r="F41" s="39" t="s">
        <v>58</v>
      </c>
      <c r="G41" s="39" t="s">
        <v>75</v>
      </c>
      <c r="H41" s="42">
        <v>0.0</v>
      </c>
      <c r="I41" s="49"/>
      <c r="J41" s="50"/>
    </row>
    <row r="42">
      <c r="A42" s="38">
        <v>199.0</v>
      </c>
      <c r="B42" s="39" t="s">
        <v>11</v>
      </c>
      <c r="C42" s="39">
        <v>1.0</v>
      </c>
      <c r="D42" s="39" t="s">
        <v>12</v>
      </c>
      <c r="E42" s="39" t="s">
        <v>376</v>
      </c>
      <c r="F42" s="39" t="s">
        <v>58</v>
      </c>
      <c r="G42" s="39" t="s">
        <v>76</v>
      </c>
      <c r="H42" s="42">
        <v>0.0</v>
      </c>
      <c r="I42" s="49"/>
      <c r="J42" s="50"/>
    </row>
    <row r="43">
      <c r="A43" s="38">
        <v>105.0</v>
      </c>
      <c r="B43" s="39" t="s">
        <v>148</v>
      </c>
      <c r="C43" s="51">
        <v>45931.0</v>
      </c>
      <c r="D43" s="41"/>
      <c r="E43" s="39" t="s">
        <v>377</v>
      </c>
      <c r="F43" s="39" t="s">
        <v>58</v>
      </c>
      <c r="G43" s="39" t="s">
        <v>233</v>
      </c>
      <c r="H43" s="42">
        <v>-650.0</v>
      </c>
      <c r="I43" s="43">
        <v>36721.37</v>
      </c>
      <c r="J43" s="44"/>
    </row>
    <row r="44">
      <c r="A44" s="38">
        <v>200.0</v>
      </c>
      <c r="B44" s="39" t="s">
        <v>11</v>
      </c>
      <c r="C44" s="39">
        <v>1.0</v>
      </c>
      <c r="D44" s="39" t="s">
        <v>12</v>
      </c>
      <c r="E44" s="39" t="s">
        <v>377</v>
      </c>
      <c r="F44" s="39" t="s">
        <v>58</v>
      </c>
      <c r="G44" s="39" t="s">
        <v>77</v>
      </c>
      <c r="H44" s="42">
        <v>650.0</v>
      </c>
      <c r="I44" s="49"/>
      <c r="J44" s="50"/>
    </row>
    <row r="45">
      <c r="A45" s="38">
        <v>133.0</v>
      </c>
      <c r="B45" s="39" t="s">
        <v>148</v>
      </c>
      <c r="C45" s="51">
        <v>45931.0</v>
      </c>
      <c r="D45" s="41"/>
      <c r="E45" s="39" t="s">
        <v>378</v>
      </c>
      <c r="F45" s="39" t="s">
        <v>58</v>
      </c>
      <c r="G45" s="39" t="s">
        <v>253</v>
      </c>
      <c r="H45" s="42">
        <v>-725.0</v>
      </c>
      <c r="I45" s="43">
        <v>33984.24</v>
      </c>
      <c r="J45" s="44"/>
    </row>
    <row r="46">
      <c r="A46" s="38">
        <v>201.0</v>
      </c>
      <c r="B46" s="39" t="s">
        <v>11</v>
      </c>
      <c r="C46" s="39">
        <v>1.0</v>
      </c>
      <c r="D46" s="39" t="s">
        <v>12</v>
      </c>
      <c r="E46" s="39" t="s">
        <v>378</v>
      </c>
      <c r="F46" s="39" t="s">
        <v>58</v>
      </c>
      <c r="G46" s="39" t="s">
        <v>78</v>
      </c>
      <c r="H46" s="42">
        <v>725.0</v>
      </c>
      <c r="I46" s="49"/>
      <c r="J46" s="50"/>
    </row>
    <row r="47">
      <c r="A47" s="45"/>
      <c r="B47" s="39" t="s">
        <v>359</v>
      </c>
      <c r="C47" s="46"/>
      <c r="D47" s="46"/>
      <c r="E47" s="47" t="s">
        <v>379</v>
      </c>
      <c r="F47" s="46"/>
      <c r="G47" s="39" t="s">
        <v>359</v>
      </c>
      <c r="H47" s="47">
        <v>-875.0</v>
      </c>
      <c r="I47" s="48"/>
    </row>
    <row r="48">
      <c r="A48" s="38">
        <v>202.0</v>
      </c>
      <c r="B48" s="39" t="s">
        <v>11</v>
      </c>
      <c r="C48" s="39">
        <v>1.0</v>
      </c>
      <c r="D48" s="39" t="s">
        <v>12</v>
      </c>
      <c r="E48" s="47" t="s">
        <v>379</v>
      </c>
      <c r="F48" s="39" t="s">
        <v>58</v>
      </c>
      <c r="G48" s="39" t="s">
        <v>79</v>
      </c>
      <c r="H48" s="42">
        <v>875.0</v>
      </c>
      <c r="I48" s="49"/>
      <c r="J48" s="50"/>
    </row>
    <row r="49">
      <c r="A49" s="38">
        <v>203.0</v>
      </c>
      <c r="B49" s="39" t="s">
        <v>11</v>
      </c>
      <c r="C49" s="39">
        <v>1.0</v>
      </c>
      <c r="D49" s="39" t="s">
        <v>12</v>
      </c>
      <c r="E49" s="39" t="s">
        <v>380</v>
      </c>
      <c r="F49" s="39" t="s">
        <v>58</v>
      </c>
      <c r="G49" s="39" t="s">
        <v>80</v>
      </c>
      <c r="H49" s="42">
        <v>1170.0</v>
      </c>
      <c r="I49" s="49"/>
      <c r="J49" s="50"/>
    </row>
    <row r="50">
      <c r="A50" s="38">
        <v>8.0</v>
      </c>
      <c r="B50" s="39" t="s">
        <v>148</v>
      </c>
      <c r="C50" s="40">
        <v>45961.0</v>
      </c>
      <c r="D50" s="41"/>
      <c r="E50" s="39" t="s">
        <v>380</v>
      </c>
      <c r="F50" s="39" t="s">
        <v>58</v>
      </c>
      <c r="G50" s="39" t="s">
        <v>349</v>
      </c>
      <c r="H50" s="42">
        <v>-1170.0</v>
      </c>
      <c r="I50" s="43">
        <v>4291.69</v>
      </c>
      <c r="J50" s="44"/>
    </row>
    <row r="51">
      <c r="A51" s="45"/>
      <c r="B51" s="39" t="s">
        <v>359</v>
      </c>
      <c r="C51" s="46"/>
      <c r="D51" s="46"/>
      <c r="E51" s="39" t="s">
        <v>380</v>
      </c>
      <c r="F51" s="46"/>
      <c r="G51" s="39" t="s">
        <v>359</v>
      </c>
      <c r="H51" s="47">
        <v>1170.0</v>
      </c>
      <c r="I51" s="48"/>
    </row>
    <row r="52">
      <c r="A52" s="45"/>
      <c r="B52" s="39" t="s">
        <v>359</v>
      </c>
      <c r="C52" s="46"/>
      <c r="D52" s="46"/>
      <c r="E52" s="39" t="s">
        <v>380</v>
      </c>
      <c r="F52" s="46"/>
      <c r="G52" s="39" t="s">
        <v>359</v>
      </c>
      <c r="H52" s="47">
        <v>-1170.0</v>
      </c>
      <c r="I52" s="48"/>
    </row>
    <row r="53">
      <c r="A53" s="38">
        <v>72.0</v>
      </c>
      <c r="B53" s="39" t="s">
        <v>148</v>
      </c>
      <c r="C53" s="51">
        <v>45932.0</v>
      </c>
      <c r="D53" s="41"/>
      <c r="E53" s="39" t="s">
        <v>381</v>
      </c>
      <c r="F53" s="39" t="s">
        <v>58</v>
      </c>
      <c r="G53" s="39" t="s">
        <v>288</v>
      </c>
      <c r="H53" s="42">
        <v>-650.0</v>
      </c>
      <c r="I53" s="43">
        <v>46631.26</v>
      </c>
      <c r="J53" s="44"/>
    </row>
    <row r="54">
      <c r="A54" s="38">
        <v>204.0</v>
      </c>
      <c r="B54" s="39" t="s">
        <v>11</v>
      </c>
      <c r="C54" s="39">
        <v>1.0</v>
      </c>
      <c r="D54" s="39" t="s">
        <v>12</v>
      </c>
      <c r="E54" s="39" t="s">
        <v>381</v>
      </c>
      <c r="F54" s="39" t="s">
        <v>58</v>
      </c>
      <c r="G54" s="39" t="s">
        <v>81</v>
      </c>
      <c r="H54" s="42">
        <v>650.0</v>
      </c>
      <c r="I54" s="49"/>
      <c r="J54" s="50"/>
    </row>
    <row r="55">
      <c r="A55" s="38">
        <v>205.0</v>
      </c>
      <c r="B55" s="39" t="s">
        <v>11</v>
      </c>
      <c r="C55" s="39">
        <v>1.0</v>
      </c>
      <c r="D55" s="39" t="s">
        <v>12</v>
      </c>
      <c r="E55" s="39" t="s">
        <v>382</v>
      </c>
      <c r="F55" s="39" t="s">
        <v>58</v>
      </c>
      <c r="G55" s="39" t="s">
        <v>82</v>
      </c>
      <c r="H55" s="42">
        <v>675.0</v>
      </c>
      <c r="I55" s="49"/>
      <c r="J55" s="50"/>
    </row>
    <row r="56">
      <c r="A56" s="38">
        <v>117.0</v>
      </c>
      <c r="B56" s="39" t="s">
        <v>148</v>
      </c>
      <c r="C56" s="51">
        <v>45931.0</v>
      </c>
      <c r="D56" s="41"/>
      <c r="E56" s="39" t="s">
        <v>382</v>
      </c>
      <c r="F56" s="39" t="s">
        <v>58</v>
      </c>
      <c r="G56" s="39" t="s">
        <v>245</v>
      </c>
      <c r="H56" s="42">
        <v>-675.0</v>
      </c>
      <c r="I56" s="43">
        <v>34136.84</v>
      </c>
      <c r="J56" s="44"/>
    </row>
    <row r="57">
      <c r="A57" s="38">
        <v>206.0</v>
      </c>
      <c r="B57" s="39" t="s">
        <v>11</v>
      </c>
      <c r="C57" s="39">
        <v>1.0</v>
      </c>
      <c r="D57" s="39" t="s">
        <v>12</v>
      </c>
      <c r="E57" s="39" t="s">
        <v>383</v>
      </c>
      <c r="F57" s="39" t="s">
        <v>58</v>
      </c>
      <c r="G57" s="39" t="s">
        <v>83</v>
      </c>
      <c r="H57" s="42">
        <v>675.0</v>
      </c>
      <c r="I57" s="49"/>
      <c r="J57" s="50"/>
    </row>
    <row r="58">
      <c r="A58" s="38">
        <v>14.0</v>
      </c>
      <c r="B58" s="39" t="s">
        <v>148</v>
      </c>
      <c r="C58" s="40">
        <v>45958.0</v>
      </c>
      <c r="D58" s="41"/>
      <c r="E58" s="39" t="s">
        <v>383</v>
      </c>
      <c r="F58" s="39" t="s">
        <v>58</v>
      </c>
      <c r="G58" s="39" t="s">
        <v>340</v>
      </c>
      <c r="H58" s="42">
        <v>-675.0</v>
      </c>
      <c r="I58" s="43">
        <v>3841.95</v>
      </c>
      <c r="J58" s="44"/>
    </row>
    <row r="59">
      <c r="A59" s="52"/>
      <c r="B59" s="39" t="s">
        <v>359</v>
      </c>
      <c r="C59" s="53"/>
      <c r="D59" s="41"/>
      <c r="E59" s="39" t="s">
        <v>383</v>
      </c>
      <c r="F59" s="53"/>
      <c r="G59" s="39" t="s">
        <v>359</v>
      </c>
      <c r="H59" s="39">
        <v>675.0</v>
      </c>
      <c r="I59" s="54"/>
      <c r="J59" s="44"/>
    </row>
    <row r="60">
      <c r="A60" s="45"/>
      <c r="B60" s="39" t="s">
        <v>359</v>
      </c>
      <c r="C60" s="46"/>
      <c r="D60" s="46"/>
      <c r="E60" s="47" t="s">
        <v>383</v>
      </c>
      <c r="F60" s="46"/>
      <c r="G60" s="39" t="s">
        <v>359</v>
      </c>
      <c r="H60" s="47">
        <v>-675.0</v>
      </c>
      <c r="I60" s="48"/>
    </row>
    <row r="61">
      <c r="A61" s="38">
        <v>207.0</v>
      </c>
      <c r="B61" s="39" t="s">
        <v>11</v>
      </c>
      <c r="C61" s="39">
        <v>1.0</v>
      </c>
      <c r="D61" s="39" t="s">
        <v>12</v>
      </c>
      <c r="E61" s="39" t="s">
        <v>384</v>
      </c>
      <c r="F61" s="39" t="s">
        <v>58</v>
      </c>
      <c r="G61" s="39" t="s">
        <v>84</v>
      </c>
      <c r="H61" s="42">
        <v>675.0</v>
      </c>
      <c r="I61" s="49"/>
      <c r="J61" s="50"/>
    </row>
    <row r="62">
      <c r="A62" s="38">
        <v>108.0</v>
      </c>
      <c r="B62" s="39" t="s">
        <v>148</v>
      </c>
      <c r="C62" s="51">
        <v>45931.0</v>
      </c>
      <c r="D62" s="41"/>
      <c r="E62" s="39" t="s">
        <v>384</v>
      </c>
      <c r="F62" s="39" t="s">
        <v>58</v>
      </c>
      <c r="G62" s="39" t="s">
        <v>243</v>
      </c>
      <c r="H62" s="42">
        <v>-675.0</v>
      </c>
      <c r="I62" s="43">
        <v>34766.37</v>
      </c>
      <c r="J62" s="44"/>
    </row>
    <row r="63">
      <c r="A63" s="38">
        <v>208.0</v>
      </c>
      <c r="B63" s="39" t="s">
        <v>11</v>
      </c>
      <c r="C63" s="39">
        <v>1.0</v>
      </c>
      <c r="D63" s="39" t="s">
        <v>12</v>
      </c>
      <c r="E63" s="39" t="s">
        <v>385</v>
      </c>
      <c r="F63" s="39" t="s">
        <v>58</v>
      </c>
      <c r="G63" s="39" t="s">
        <v>85</v>
      </c>
      <c r="H63" s="42">
        <v>725.0</v>
      </c>
      <c r="I63" s="49"/>
      <c r="J63" s="50"/>
    </row>
    <row r="64">
      <c r="A64" s="38">
        <v>73.0</v>
      </c>
      <c r="B64" s="39" t="s">
        <v>148</v>
      </c>
      <c r="C64" s="51">
        <v>45932.0</v>
      </c>
      <c r="D64" s="41"/>
      <c r="E64" s="39" t="s">
        <v>385</v>
      </c>
      <c r="F64" s="39" t="s">
        <v>58</v>
      </c>
      <c r="G64" s="39" t="s">
        <v>293</v>
      </c>
      <c r="H64" s="42">
        <v>-725.0</v>
      </c>
      <c r="I64" s="43">
        <v>45981.26</v>
      </c>
      <c r="J64" s="44"/>
    </row>
    <row r="65">
      <c r="A65" s="38">
        <v>209.0</v>
      </c>
      <c r="B65" s="39" t="s">
        <v>11</v>
      </c>
      <c r="C65" s="39">
        <v>1.0</v>
      </c>
      <c r="D65" s="39" t="s">
        <v>12</v>
      </c>
      <c r="E65" s="39" t="s">
        <v>386</v>
      </c>
      <c r="F65" s="39" t="s">
        <v>58</v>
      </c>
      <c r="G65" s="39" t="s">
        <v>86</v>
      </c>
      <c r="H65" s="42">
        <v>675.0</v>
      </c>
      <c r="I65" s="49"/>
      <c r="J65" s="50"/>
    </row>
    <row r="66">
      <c r="A66" s="38">
        <v>102.0</v>
      </c>
      <c r="B66" s="39" t="s">
        <v>148</v>
      </c>
      <c r="C66" s="51">
        <v>45931.0</v>
      </c>
      <c r="D66" s="41"/>
      <c r="E66" s="39" t="s">
        <v>386</v>
      </c>
      <c r="F66" s="39" t="s">
        <v>58</v>
      </c>
      <c r="G66" s="39" t="s">
        <v>242</v>
      </c>
      <c r="H66" s="42">
        <v>-675.0</v>
      </c>
      <c r="I66" s="43">
        <v>38701.37</v>
      </c>
      <c r="J66" s="44"/>
    </row>
    <row r="67">
      <c r="A67" s="38">
        <v>50.0</v>
      </c>
      <c r="B67" s="39" t="s">
        <v>148</v>
      </c>
      <c r="C67" s="40">
        <v>45944.0</v>
      </c>
      <c r="D67" s="41"/>
      <c r="E67" s="39" t="s">
        <v>387</v>
      </c>
      <c r="F67" s="39" t="s">
        <v>58</v>
      </c>
      <c r="G67" s="39" t="s">
        <v>311</v>
      </c>
      <c r="H67" s="42">
        <v>-370.16</v>
      </c>
      <c r="I67" s="43">
        <v>10219.7</v>
      </c>
      <c r="J67" s="44"/>
    </row>
    <row r="68">
      <c r="A68" s="56"/>
      <c r="B68" s="39" t="s">
        <v>148</v>
      </c>
      <c r="C68" s="41"/>
      <c r="D68" s="41"/>
      <c r="E68" s="39" t="s">
        <v>387</v>
      </c>
      <c r="F68" s="39" t="s">
        <v>58</v>
      </c>
      <c r="G68" s="41"/>
      <c r="H68" s="42">
        <v>-326.61</v>
      </c>
      <c r="I68" s="49"/>
      <c r="J68" s="50"/>
    </row>
    <row r="69">
      <c r="A69" s="38">
        <v>210.0</v>
      </c>
      <c r="B69" s="39" t="s">
        <v>11</v>
      </c>
      <c r="C69" s="39">
        <v>1.0</v>
      </c>
      <c r="D69" s="39" t="s">
        <v>12</v>
      </c>
      <c r="E69" s="39" t="s">
        <v>387</v>
      </c>
      <c r="F69" s="39" t="s">
        <v>58</v>
      </c>
      <c r="G69" s="39" t="s">
        <v>87</v>
      </c>
      <c r="H69" s="42">
        <v>370.16</v>
      </c>
      <c r="I69" s="49"/>
      <c r="J69" s="50"/>
    </row>
    <row r="70">
      <c r="A70" s="38">
        <v>211.0</v>
      </c>
      <c r="B70" s="39" t="s">
        <v>11</v>
      </c>
      <c r="C70" s="39">
        <v>1.0</v>
      </c>
      <c r="D70" s="39" t="s">
        <v>12</v>
      </c>
      <c r="E70" s="39" t="s">
        <v>388</v>
      </c>
      <c r="F70" s="39" t="s">
        <v>58</v>
      </c>
      <c r="G70" s="39" t="s">
        <v>88</v>
      </c>
      <c r="H70" s="42">
        <v>675.0</v>
      </c>
      <c r="I70" s="49"/>
      <c r="J70" s="50"/>
    </row>
    <row r="71">
      <c r="A71" s="38">
        <v>145.0</v>
      </c>
      <c r="B71" s="39" t="s">
        <v>148</v>
      </c>
      <c r="C71" s="51">
        <v>45931.0</v>
      </c>
      <c r="D71" s="41"/>
      <c r="E71" s="39" t="s">
        <v>388</v>
      </c>
      <c r="F71" s="39" t="s">
        <v>58</v>
      </c>
      <c r="G71" s="39" t="s">
        <v>247</v>
      </c>
      <c r="H71" s="42">
        <v>-675.0</v>
      </c>
      <c r="I71" s="43">
        <v>33878.59</v>
      </c>
      <c r="J71" s="44"/>
    </row>
    <row r="72">
      <c r="A72" s="38">
        <v>212.0</v>
      </c>
      <c r="B72" s="39" t="s">
        <v>11</v>
      </c>
      <c r="C72" s="39">
        <v>1.0</v>
      </c>
      <c r="D72" s="39" t="s">
        <v>12</v>
      </c>
      <c r="E72" s="39" t="s">
        <v>389</v>
      </c>
      <c r="F72" s="39" t="s">
        <v>58</v>
      </c>
      <c r="G72" s="39" t="s">
        <v>89</v>
      </c>
      <c r="H72" s="42">
        <v>675.0</v>
      </c>
      <c r="I72" s="49"/>
      <c r="J72" s="50"/>
    </row>
    <row r="73">
      <c r="A73" s="38">
        <v>124.0</v>
      </c>
      <c r="B73" s="39" t="s">
        <v>148</v>
      </c>
      <c r="C73" s="51">
        <v>45931.0</v>
      </c>
      <c r="D73" s="41"/>
      <c r="E73" s="39" t="s">
        <v>389</v>
      </c>
      <c r="F73" s="39" t="s">
        <v>58</v>
      </c>
      <c r="G73" s="39" t="s">
        <v>246</v>
      </c>
      <c r="H73" s="42">
        <v>-675.0</v>
      </c>
      <c r="I73" s="43">
        <v>34234.31</v>
      </c>
      <c r="J73" s="44"/>
    </row>
    <row r="74">
      <c r="A74" s="38">
        <v>213.0</v>
      </c>
      <c r="B74" s="39" t="s">
        <v>11</v>
      </c>
      <c r="C74" s="39">
        <v>1.0</v>
      </c>
      <c r="D74" s="39" t="s">
        <v>12</v>
      </c>
      <c r="E74" s="39" t="s">
        <v>390</v>
      </c>
      <c r="F74" s="39" t="s">
        <v>58</v>
      </c>
      <c r="G74" s="39" t="s">
        <v>90</v>
      </c>
      <c r="H74" s="42">
        <v>675.0</v>
      </c>
      <c r="I74" s="49"/>
      <c r="J74" s="50"/>
    </row>
    <row r="75">
      <c r="A75" s="38">
        <v>90.0</v>
      </c>
      <c r="B75" s="39" t="s">
        <v>148</v>
      </c>
      <c r="C75" s="51">
        <v>45931.0</v>
      </c>
      <c r="D75" s="41"/>
      <c r="E75" s="39" t="s">
        <v>390</v>
      </c>
      <c r="F75" s="39" t="s">
        <v>58</v>
      </c>
      <c r="G75" s="39" t="s">
        <v>238</v>
      </c>
      <c r="H75" s="42">
        <v>-675.0</v>
      </c>
      <c r="I75" s="43">
        <v>43681.96</v>
      </c>
      <c r="J75" s="44"/>
    </row>
    <row r="76">
      <c r="A76" s="38">
        <v>214.0</v>
      </c>
      <c r="B76" s="39" t="s">
        <v>11</v>
      </c>
      <c r="C76" s="39">
        <v>1.0</v>
      </c>
      <c r="D76" s="39" t="s">
        <v>12</v>
      </c>
      <c r="E76" s="39" t="s">
        <v>391</v>
      </c>
      <c r="F76" s="39" t="s">
        <v>58</v>
      </c>
      <c r="G76" s="39" t="s">
        <v>91</v>
      </c>
      <c r="H76" s="42">
        <v>655.0</v>
      </c>
      <c r="I76" s="49"/>
      <c r="J76" s="50"/>
    </row>
    <row r="77">
      <c r="A77" s="38">
        <v>103.0</v>
      </c>
      <c r="B77" s="39" t="s">
        <v>148</v>
      </c>
      <c r="C77" s="51">
        <v>45931.0</v>
      </c>
      <c r="D77" s="41"/>
      <c r="E77" s="39" t="s">
        <v>391</v>
      </c>
      <c r="F77" s="39" t="s">
        <v>58</v>
      </c>
      <c r="G77" s="39" t="s">
        <v>236</v>
      </c>
      <c r="H77" s="42">
        <v>-655.0</v>
      </c>
      <c r="I77" s="43">
        <v>38026.37</v>
      </c>
      <c r="J77" s="44"/>
    </row>
    <row r="78">
      <c r="A78" s="38">
        <v>215.0</v>
      </c>
      <c r="B78" s="39" t="s">
        <v>11</v>
      </c>
      <c r="C78" s="39">
        <v>1.0</v>
      </c>
      <c r="D78" s="39" t="s">
        <v>12</v>
      </c>
      <c r="E78" s="39" t="s">
        <v>392</v>
      </c>
      <c r="F78" s="39" t="s">
        <v>58</v>
      </c>
      <c r="G78" s="39" t="s">
        <v>92</v>
      </c>
      <c r="H78" s="42">
        <v>655.0</v>
      </c>
      <c r="I78" s="49"/>
      <c r="J78" s="50"/>
    </row>
    <row r="79">
      <c r="A79" s="38">
        <v>106.0</v>
      </c>
      <c r="B79" s="39" t="s">
        <v>148</v>
      </c>
      <c r="C79" s="51">
        <v>45931.0</v>
      </c>
      <c r="D79" s="41"/>
      <c r="E79" s="39" t="s">
        <v>392</v>
      </c>
      <c r="F79" s="39" t="s">
        <v>58</v>
      </c>
      <c r="G79" s="39" t="s">
        <v>237</v>
      </c>
      <c r="H79" s="42">
        <v>-655.0</v>
      </c>
      <c r="I79" s="43">
        <v>36071.37</v>
      </c>
      <c r="J79" s="44"/>
    </row>
    <row r="80">
      <c r="A80" s="38">
        <v>216.0</v>
      </c>
      <c r="B80" s="39" t="s">
        <v>11</v>
      </c>
      <c r="C80" s="39">
        <v>1.0</v>
      </c>
      <c r="D80" s="39" t="s">
        <v>12</v>
      </c>
      <c r="E80" s="39" t="s">
        <v>393</v>
      </c>
      <c r="F80" s="39" t="s">
        <v>58</v>
      </c>
      <c r="G80" s="39" t="s">
        <v>93</v>
      </c>
      <c r="H80" s="42">
        <v>675.0</v>
      </c>
      <c r="I80" s="49"/>
      <c r="J80" s="50"/>
    </row>
    <row r="81">
      <c r="A81" s="38">
        <v>18.0</v>
      </c>
      <c r="B81" s="39" t="s">
        <v>148</v>
      </c>
      <c r="C81" s="40">
        <v>45957.0</v>
      </c>
      <c r="D81" s="41"/>
      <c r="E81" s="39" t="s">
        <v>393</v>
      </c>
      <c r="F81" s="39" t="s">
        <v>58</v>
      </c>
      <c r="G81" s="39" t="s">
        <v>335</v>
      </c>
      <c r="H81" s="42">
        <v>-675.0</v>
      </c>
      <c r="I81" s="43">
        <v>6169.24</v>
      </c>
      <c r="J81" s="44"/>
    </row>
    <row r="82">
      <c r="A82" s="52"/>
      <c r="B82" s="39" t="s">
        <v>359</v>
      </c>
      <c r="C82" s="53"/>
      <c r="D82" s="41"/>
      <c r="E82" s="39" t="s">
        <v>393</v>
      </c>
      <c r="F82" s="53"/>
      <c r="G82" s="39" t="s">
        <v>359</v>
      </c>
      <c r="H82" s="39">
        <v>675.0</v>
      </c>
      <c r="I82" s="54"/>
      <c r="J82" s="50"/>
    </row>
    <row r="83">
      <c r="A83" s="45"/>
      <c r="B83" s="39" t="s">
        <v>359</v>
      </c>
      <c r="C83" s="46"/>
      <c r="D83" s="46"/>
      <c r="E83" s="47" t="s">
        <v>393</v>
      </c>
      <c r="F83" s="46"/>
      <c r="G83" s="39" t="s">
        <v>359</v>
      </c>
      <c r="H83" s="47">
        <v>-675.0</v>
      </c>
      <c r="I83" s="48"/>
    </row>
    <row r="84">
      <c r="A84" s="38">
        <v>23.0</v>
      </c>
      <c r="B84" s="39" t="s">
        <v>148</v>
      </c>
      <c r="C84" s="40">
        <v>45955.0</v>
      </c>
      <c r="D84" s="41"/>
      <c r="E84" s="39" t="s">
        <v>394</v>
      </c>
      <c r="F84" s="39" t="s">
        <v>58</v>
      </c>
      <c r="G84" s="39" t="s">
        <v>331</v>
      </c>
      <c r="H84" s="42">
        <v>-675.0</v>
      </c>
      <c r="I84" s="43">
        <v>6864.03</v>
      </c>
      <c r="J84" s="44"/>
    </row>
    <row r="85">
      <c r="A85" s="52"/>
      <c r="B85" s="39" t="s">
        <v>359</v>
      </c>
      <c r="C85" s="53"/>
      <c r="D85" s="41"/>
      <c r="E85" s="39" t="s">
        <v>394</v>
      </c>
      <c r="F85" s="53"/>
      <c r="G85" s="39" t="s">
        <v>359</v>
      </c>
      <c r="H85" s="39">
        <v>675.0</v>
      </c>
      <c r="I85" s="54"/>
      <c r="J85" s="44"/>
    </row>
    <row r="86">
      <c r="B86" s="57" t="s">
        <v>359</v>
      </c>
      <c r="E86" s="39" t="s">
        <v>394</v>
      </c>
      <c r="F86" s="55"/>
      <c r="G86" s="57" t="s">
        <v>359</v>
      </c>
      <c r="H86" s="58">
        <v>-675.0</v>
      </c>
    </row>
    <row r="87">
      <c r="A87" s="57">
        <v>217.0</v>
      </c>
      <c r="B87" s="57" t="s">
        <v>11</v>
      </c>
      <c r="C87" s="57">
        <v>1.0</v>
      </c>
      <c r="D87" s="57" t="s">
        <v>12</v>
      </c>
      <c r="E87" s="39" t="s">
        <v>394</v>
      </c>
      <c r="F87" s="57" t="s">
        <v>58</v>
      </c>
      <c r="G87" s="57" t="s">
        <v>94</v>
      </c>
      <c r="H87" s="59">
        <v>675.0</v>
      </c>
      <c r="I87" s="50"/>
      <c r="J87" s="50"/>
    </row>
    <row r="88">
      <c r="A88" s="57">
        <v>218.0</v>
      </c>
      <c r="B88" s="57" t="s">
        <v>11</v>
      </c>
      <c r="C88" s="57">
        <v>1.0</v>
      </c>
      <c r="D88" s="57" t="s">
        <v>12</v>
      </c>
      <c r="E88" s="57" t="s">
        <v>395</v>
      </c>
      <c r="F88" s="57" t="s">
        <v>58</v>
      </c>
      <c r="G88" s="57" t="s">
        <v>95</v>
      </c>
      <c r="H88" s="59">
        <v>695.0</v>
      </c>
      <c r="I88" s="50"/>
      <c r="J88" s="50"/>
    </row>
    <row r="89">
      <c r="A89" s="57">
        <v>91.0</v>
      </c>
      <c r="B89" s="57" t="s">
        <v>148</v>
      </c>
      <c r="C89" s="60">
        <v>45931.0</v>
      </c>
      <c r="D89" s="50"/>
      <c r="E89" s="57" t="s">
        <v>395</v>
      </c>
      <c r="F89" s="57" t="s">
        <v>58</v>
      </c>
      <c r="G89" s="57" t="s">
        <v>250</v>
      </c>
      <c r="H89" s="59">
        <v>-695.0</v>
      </c>
      <c r="I89" s="59">
        <v>43006.96</v>
      </c>
      <c r="J89" s="44"/>
    </row>
    <row r="90">
      <c r="A90" s="57">
        <v>219.0</v>
      </c>
      <c r="B90" s="57" t="s">
        <v>11</v>
      </c>
      <c r="C90" s="57">
        <v>1.0</v>
      </c>
      <c r="D90" s="57" t="s">
        <v>12</v>
      </c>
      <c r="E90" s="57" t="s">
        <v>396</v>
      </c>
      <c r="F90" s="57" t="s">
        <v>58</v>
      </c>
      <c r="G90" s="57" t="s">
        <v>96</v>
      </c>
      <c r="H90" s="59">
        <v>675.0</v>
      </c>
      <c r="I90" s="50"/>
      <c r="J90" s="50"/>
    </row>
    <row r="91">
      <c r="A91" s="57">
        <v>147.0</v>
      </c>
      <c r="B91" s="57" t="s">
        <v>148</v>
      </c>
      <c r="C91" s="60">
        <v>45931.0</v>
      </c>
      <c r="D91" s="50"/>
      <c r="E91" s="57" t="s">
        <v>396</v>
      </c>
      <c r="F91" s="57" t="s">
        <v>58</v>
      </c>
      <c r="G91" s="57" t="s">
        <v>248</v>
      </c>
      <c r="H91" s="59">
        <v>-675.0</v>
      </c>
      <c r="I91" s="59">
        <v>33314.89</v>
      </c>
      <c r="J91" s="44"/>
    </row>
    <row r="92">
      <c r="A92" s="57">
        <v>220.0</v>
      </c>
      <c r="B92" s="57" t="s">
        <v>11</v>
      </c>
      <c r="C92" s="57">
        <v>1.0</v>
      </c>
      <c r="D92" s="57" t="s">
        <v>12</v>
      </c>
      <c r="E92" s="57" t="s">
        <v>397</v>
      </c>
      <c r="F92" s="57" t="s">
        <v>58</v>
      </c>
      <c r="G92" s="57" t="s">
        <v>97</v>
      </c>
      <c r="H92" s="59">
        <v>650.0</v>
      </c>
      <c r="I92" s="50"/>
      <c r="J92" s="50"/>
    </row>
    <row r="93">
      <c r="A93" s="57">
        <v>107.0</v>
      </c>
      <c r="B93" s="57" t="s">
        <v>148</v>
      </c>
      <c r="C93" s="60">
        <v>45931.0</v>
      </c>
      <c r="D93" s="50"/>
      <c r="E93" s="57" t="s">
        <v>397</v>
      </c>
      <c r="F93" s="57" t="s">
        <v>58</v>
      </c>
      <c r="G93" s="57" t="s">
        <v>234</v>
      </c>
      <c r="H93" s="59">
        <v>-650.0</v>
      </c>
      <c r="I93" s="59">
        <v>35416.37</v>
      </c>
      <c r="J93" s="44"/>
    </row>
    <row r="94">
      <c r="A94" s="57">
        <v>221.0</v>
      </c>
      <c r="B94" s="57" t="s">
        <v>11</v>
      </c>
      <c r="C94" s="57">
        <v>1.0</v>
      </c>
      <c r="D94" s="57" t="s">
        <v>12</v>
      </c>
      <c r="E94" s="57" t="s">
        <v>398</v>
      </c>
      <c r="F94" s="57" t="s">
        <v>58</v>
      </c>
      <c r="G94" s="57" t="s">
        <v>98</v>
      </c>
      <c r="H94" s="59">
        <v>675.0</v>
      </c>
      <c r="I94" s="50"/>
      <c r="J94" s="50"/>
    </row>
    <row r="95">
      <c r="A95" s="57">
        <v>6.0</v>
      </c>
      <c r="B95" s="57" t="s">
        <v>148</v>
      </c>
      <c r="C95" s="61">
        <v>45961.0</v>
      </c>
      <c r="D95" s="50"/>
      <c r="E95" s="57" t="s">
        <v>398</v>
      </c>
      <c r="F95" s="57" t="s">
        <v>58</v>
      </c>
      <c r="G95" s="57" t="s">
        <v>348</v>
      </c>
      <c r="H95" s="59">
        <v>-675.0</v>
      </c>
      <c r="I95" s="59">
        <v>3939.33</v>
      </c>
      <c r="J95" s="44"/>
    </row>
    <row r="96">
      <c r="B96" s="57" t="s">
        <v>359</v>
      </c>
      <c r="E96" s="58" t="s">
        <v>398</v>
      </c>
      <c r="G96" s="57" t="s">
        <v>359</v>
      </c>
      <c r="H96" s="58">
        <v>675.0</v>
      </c>
    </row>
    <row r="97">
      <c r="B97" s="57" t="s">
        <v>359</v>
      </c>
      <c r="E97" s="58" t="s">
        <v>398</v>
      </c>
      <c r="G97" s="57" t="s">
        <v>359</v>
      </c>
      <c r="H97" s="58">
        <v>-675.0</v>
      </c>
    </row>
    <row r="98">
      <c r="A98" s="57">
        <v>222.0</v>
      </c>
      <c r="B98" s="57" t="s">
        <v>11</v>
      </c>
      <c r="C98" s="57">
        <v>1.0</v>
      </c>
      <c r="D98" s="57" t="s">
        <v>12</v>
      </c>
      <c r="E98" s="57" t="s">
        <v>399</v>
      </c>
      <c r="F98" s="57" t="s">
        <v>58</v>
      </c>
      <c r="G98" s="57" t="s">
        <v>99</v>
      </c>
      <c r="H98" s="59">
        <v>675.0</v>
      </c>
      <c r="I98" s="50"/>
      <c r="J98" s="50"/>
    </row>
    <row r="99">
      <c r="A99" s="57">
        <v>74.0</v>
      </c>
      <c r="B99" s="57" t="s">
        <v>148</v>
      </c>
      <c r="C99" s="60">
        <v>45932.0</v>
      </c>
      <c r="D99" s="50"/>
      <c r="E99" s="57" t="s">
        <v>399</v>
      </c>
      <c r="F99" s="57" t="s">
        <v>58</v>
      </c>
      <c r="G99" s="57" t="s">
        <v>290</v>
      </c>
      <c r="H99" s="59">
        <v>-675.0</v>
      </c>
      <c r="I99" s="59">
        <v>45256.26</v>
      </c>
      <c r="J99" s="44"/>
    </row>
    <row r="100">
      <c r="B100" s="57"/>
      <c r="G100" s="57"/>
    </row>
  </sheetData>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2.63"/>
    <col customWidth="1" min="3" max="3" width="4.88"/>
    <col customWidth="1" min="4" max="4" width="50.5"/>
    <col customWidth="1" min="5" max="5" width="4.13"/>
    <col customWidth="1" min="6" max="18" width="10.75"/>
  </cols>
  <sheetData>
    <row r="1">
      <c r="A1" s="62" t="s">
        <v>3</v>
      </c>
      <c r="B1" s="62" t="s">
        <v>400</v>
      </c>
      <c r="C1" s="62" t="s">
        <v>401</v>
      </c>
      <c r="D1" s="62" t="s">
        <v>402</v>
      </c>
      <c r="E1" s="63"/>
      <c r="F1" s="63">
        <v>45931.0</v>
      </c>
      <c r="G1" s="63">
        <f t="shared" ref="G1:R1" si="1">F1+31</f>
        <v>45962</v>
      </c>
      <c r="H1" s="63">
        <f t="shared" si="1"/>
        <v>45993</v>
      </c>
      <c r="I1" s="63">
        <f t="shared" si="1"/>
        <v>46024</v>
      </c>
      <c r="J1" s="63">
        <f t="shared" si="1"/>
        <v>46055</v>
      </c>
      <c r="K1" s="63">
        <f t="shared" si="1"/>
        <v>46086</v>
      </c>
      <c r="L1" s="63">
        <f t="shared" si="1"/>
        <v>46117</v>
      </c>
      <c r="M1" s="63">
        <f t="shared" si="1"/>
        <v>46148</v>
      </c>
      <c r="N1" s="63">
        <f t="shared" si="1"/>
        <v>46179</v>
      </c>
      <c r="O1" s="63">
        <f t="shared" si="1"/>
        <v>46210</v>
      </c>
      <c r="P1" s="63">
        <f t="shared" si="1"/>
        <v>46241</v>
      </c>
      <c r="Q1" s="63">
        <f t="shared" si="1"/>
        <v>46272</v>
      </c>
      <c r="R1" s="63">
        <f t="shared" si="1"/>
        <v>46303</v>
      </c>
      <c r="S1" s="2"/>
      <c r="T1" s="2"/>
      <c r="U1" s="2"/>
      <c r="V1" s="2"/>
      <c r="W1" s="2"/>
      <c r="X1" s="2"/>
      <c r="Y1" s="2"/>
      <c r="Z1" s="2"/>
    </row>
    <row r="2">
      <c r="A2" s="64">
        <v>1.0</v>
      </c>
      <c r="B2" s="65"/>
      <c r="C2" s="66"/>
      <c r="D2" s="67" t="s">
        <v>194</v>
      </c>
      <c r="E2" s="68"/>
      <c r="F2" s="68">
        <f>1350.56+32.17</f>
        <v>1382.73</v>
      </c>
      <c r="G2" s="69">
        <f t="shared" ref="G2:R2" si="2">F175</f>
        <v>16155.3</v>
      </c>
      <c r="H2" s="69">
        <f t="shared" si="2"/>
        <v>3173.65</v>
      </c>
      <c r="I2" s="69">
        <f t="shared" si="2"/>
        <v>9432.992</v>
      </c>
      <c r="J2" s="69">
        <f t="shared" si="2"/>
        <v>15550.604</v>
      </c>
      <c r="K2" s="69">
        <f t="shared" si="2"/>
        <v>21839.086</v>
      </c>
      <c r="L2" s="69">
        <f t="shared" si="2"/>
        <v>28360.638</v>
      </c>
      <c r="M2" s="69">
        <f t="shared" si="2"/>
        <v>34670.42</v>
      </c>
      <c r="N2" s="69">
        <f t="shared" si="2"/>
        <v>41416.952</v>
      </c>
      <c r="O2" s="69">
        <f t="shared" si="2"/>
        <v>48288.264</v>
      </c>
      <c r="P2" s="69">
        <f t="shared" si="2"/>
        <v>54425.696</v>
      </c>
      <c r="Q2" s="69">
        <f t="shared" si="2"/>
        <v>61450.838</v>
      </c>
      <c r="R2" s="69">
        <f t="shared" si="2"/>
        <v>67795.87</v>
      </c>
      <c r="S2" s="70"/>
      <c r="T2" s="70"/>
      <c r="U2" s="70"/>
      <c r="V2" s="70"/>
      <c r="W2" s="70"/>
      <c r="X2" s="70"/>
      <c r="Y2" s="70"/>
      <c r="Z2" s="70"/>
    </row>
    <row r="3">
      <c r="A3" s="71">
        <v>2.0</v>
      </c>
      <c r="B3" s="72"/>
      <c r="C3" s="73"/>
      <c r="D3" s="74" t="s">
        <v>403</v>
      </c>
      <c r="E3" s="75" t="s">
        <v>404</v>
      </c>
      <c r="F3" s="55">
        <f>-625-625-660-625-625-645-645-635-675+625+635+660+645+650+650+625+625+625</f>
        <v>-20</v>
      </c>
      <c r="G3" s="55">
        <f>-625-625-625-650-650-645-660-625</f>
        <v>-5105</v>
      </c>
      <c r="H3" s="55"/>
      <c r="I3" s="55"/>
      <c r="J3" s="55"/>
      <c r="K3" s="55"/>
      <c r="L3" s="55"/>
      <c r="M3" s="55"/>
      <c r="N3" s="55"/>
      <c r="O3" s="55"/>
      <c r="P3" s="55"/>
      <c r="Q3" s="55"/>
      <c r="R3" s="55"/>
      <c r="S3" s="2"/>
      <c r="T3" s="2"/>
      <c r="U3" s="2"/>
      <c r="V3" s="2"/>
      <c r="W3" s="2"/>
      <c r="X3" s="2"/>
      <c r="Y3" s="2"/>
      <c r="Z3" s="2"/>
    </row>
    <row r="4">
      <c r="A4" s="71">
        <v>3.0</v>
      </c>
      <c r="B4" s="72"/>
      <c r="C4" s="73"/>
      <c r="D4" s="76" t="s">
        <v>405</v>
      </c>
      <c r="E4" s="77" t="s">
        <v>404</v>
      </c>
      <c r="F4" s="78">
        <f>550-299.65-17.95+100+575-17.95-22.79-25.98-45.58</f>
        <v>795.1</v>
      </c>
      <c r="G4" s="78">
        <f>-75-44.98-17.95</f>
        <v>-137.93</v>
      </c>
      <c r="H4" s="78"/>
      <c r="I4" s="78"/>
      <c r="J4" s="78"/>
      <c r="K4" s="78"/>
      <c r="L4" s="78"/>
      <c r="M4" s="78"/>
      <c r="N4" s="78"/>
      <c r="O4" s="78"/>
      <c r="P4" s="78"/>
      <c r="Q4" s="78"/>
      <c r="R4" s="78"/>
      <c r="S4" s="2"/>
      <c r="T4" s="2"/>
      <c r="U4" s="2"/>
      <c r="V4" s="2"/>
      <c r="W4" s="2"/>
      <c r="X4" s="2"/>
      <c r="Y4" s="2"/>
      <c r="Z4" s="2"/>
    </row>
    <row r="5">
      <c r="A5" s="64"/>
      <c r="B5" s="72"/>
      <c r="C5" s="73"/>
      <c r="D5" s="79" t="s">
        <v>187</v>
      </c>
      <c r="E5" s="80" t="s">
        <v>404</v>
      </c>
      <c r="F5" s="81">
        <f>-524.52-398.3-1407.65-2156.07-20000</f>
        <v>-24486.54</v>
      </c>
      <c r="G5" s="81">
        <f>-1427.13-2500-3849.82+9217.7-1000-1000-395-165</f>
        <v>-1119.25</v>
      </c>
      <c r="H5" s="81"/>
      <c r="I5" s="81"/>
      <c r="J5" s="81"/>
      <c r="K5" s="81"/>
      <c r="L5" s="81"/>
      <c r="M5" s="81"/>
      <c r="N5" s="81"/>
      <c r="O5" s="81"/>
      <c r="P5" s="81"/>
      <c r="Q5" s="81"/>
      <c r="R5" s="81"/>
      <c r="S5" s="2"/>
      <c r="T5" s="2"/>
      <c r="U5" s="2"/>
      <c r="V5" s="2"/>
      <c r="W5" s="2"/>
      <c r="X5" s="2"/>
      <c r="Y5" s="2"/>
      <c r="Z5" s="2"/>
    </row>
    <row r="6">
      <c r="A6" s="64"/>
      <c r="B6" s="72"/>
      <c r="C6" s="73"/>
      <c r="D6" s="79" t="s">
        <v>203</v>
      </c>
      <c r="E6" s="82"/>
      <c r="F6" s="83">
        <v>0.0</v>
      </c>
      <c r="G6" s="81" t="s">
        <v>178</v>
      </c>
      <c r="H6" s="81"/>
      <c r="I6" s="81"/>
      <c r="J6" s="81"/>
      <c r="K6" s="81"/>
      <c r="L6" s="81"/>
      <c r="M6" s="81"/>
      <c r="N6" s="81"/>
      <c r="O6" s="81"/>
      <c r="P6" s="81"/>
      <c r="Q6" s="81"/>
      <c r="R6" s="81"/>
      <c r="S6" s="2"/>
      <c r="T6" s="2"/>
      <c r="U6" s="2"/>
      <c r="V6" s="2"/>
      <c r="W6" s="2"/>
      <c r="X6" s="2"/>
      <c r="Y6" s="2"/>
      <c r="Z6" s="2"/>
    </row>
    <row r="7">
      <c r="A7" s="64"/>
      <c r="B7" s="72"/>
      <c r="C7" s="73"/>
      <c r="D7" s="65" t="s">
        <v>191</v>
      </c>
      <c r="E7" s="84" t="s">
        <v>404</v>
      </c>
      <c r="F7" s="85">
        <f>38347-80-164.73-340-239.75-360-52.08-144-400-523.14-2802.32-90-173.34-82.44-69.99-61.02</f>
        <v>32764.19</v>
      </c>
      <c r="G7" s="85">
        <f>-1340-52.08-747.91-128.53-89.68-45.64-87.48-213.1</f>
        <v>-2704.42</v>
      </c>
      <c r="H7" s="86"/>
      <c r="I7" s="86"/>
      <c r="J7" s="86"/>
      <c r="K7" s="86"/>
      <c r="L7" s="86"/>
      <c r="M7" s="86"/>
      <c r="N7" s="86"/>
      <c r="O7" s="86"/>
      <c r="P7" s="86"/>
      <c r="Q7" s="86"/>
      <c r="R7" s="86"/>
      <c r="S7" s="2"/>
      <c r="T7" s="2"/>
      <c r="U7" s="2"/>
      <c r="V7" s="2"/>
      <c r="W7" s="2"/>
      <c r="X7" s="2"/>
      <c r="Y7" s="2"/>
      <c r="Z7" s="2"/>
    </row>
    <row r="8">
      <c r="A8" s="64"/>
      <c r="B8" s="72"/>
      <c r="C8" s="73"/>
      <c r="D8" s="65" t="s">
        <v>406</v>
      </c>
      <c r="E8" s="84" t="s">
        <v>404</v>
      </c>
      <c r="F8" s="85">
        <f>-1.65-0.66-39.87-1.95-66.25-14.39-0.48-16.32-3-55.98-0.32-10.88</f>
        <v>-211.75</v>
      </c>
      <c r="G8" s="85">
        <f>-1.17-39.68-22.27-0.66</f>
        <v>-63.78</v>
      </c>
      <c r="H8" s="86"/>
      <c r="I8" s="86"/>
      <c r="J8" s="86"/>
      <c r="K8" s="86"/>
      <c r="L8" s="86"/>
      <c r="M8" s="86"/>
      <c r="N8" s="86"/>
      <c r="O8" s="86"/>
      <c r="P8" s="86"/>
      <c r="Q8" s="86"/>
      <c r="R8" s="86"/>
      <c r="S8" s="2"/>
      <c r="T8" s="2"/>
      <c r="U8" s="2"/>
      <c r="V8" s="2"/>
      <c r="W8" s="2"/>
      <c r="X8" s="2"/>
      <c r="Y8" s="2"/>
      <c r="Z8" s="2"/>
    </row>
    <row r="9">
      <c r="A9" s="71">
        <v>24.0</v>
      </c>
      <c r="B9" s="72" t="s">
        <v>407</v>
      </c>
      <c r="C9" s="73">
        <v>1.0</v>
      </c>
      <c r="D9" s="72" t="s">
        <v>17</v>
      </c>
      <c r="E9" s="84" t="s">
        <v>404</v>
      </c>
      <c r="F9" s="85">
        <v>-107.0</v>
      </c>
      <c r="G9" s="85">
        <v>-117.7</v>
      </c>
      <c r="H9" s="86">
        <v>-117.7</v>
      </c>
      <c r="I9" s="86">
        <v>-117.7</v>
      </c>
      <c r="J9" s="86">
        <v>-117.7</v>
      </c>
      <c r="K9" s="86">
        <v>-117.7</v>
      </c>
      <c r="L9" s="86">
        <v>-117.7</v>
      </c>
      <c r="M9" s="86">
        <v>-117.7</v>
      </c>
      <c r="N9" s="86">
        <v>-117.7</v>
      </c>
      <c r="O9" s="86">
        <v>-117.7</v>
      </c>
      <c r="P9" s="86">
        <v>-117.7</v>
      </c>
      <c r="Q9" s="86">
        <v>-117.7</v>
      </c>
      <c r="R9" s="86">
        <v>-117.7</v>
      </c>
      <c r="S9" s="2"/>
      <c r="T9" s="2"/>
      <c r="U9" s="2"/>
      <c r="V9" s="2"/>
      <c r="W9" s="2"/>
      <c r="X9" s="2"/>
      <c r="Y9" s="2"/>
      <c r="Z9" s="2"/>
    </row>
    <row r="10">
      <c r="A10" s="64">
        <v>25.0</v>
      </c>
      <c r="B10" s="72" t="s">
        <v>407</v>
      </c>
      <c r="C10" s="73">
        <v>1.0</v>
      </c>
      <c r="D10" s="72" t="s">
        <v>18</v>
      </c>
      <c r="E10" s="84" t="s">
        <v>404</v>
      </c>
      <c r="F10" s="85">
        <v>-107.0</v>
      </c>
      <c r="G10" s="85">
        <v>-117.7</v>
      </c>
      <c r="H10" s="86">
        <v>-117.7</v>
      </c>
      <c r="I10" s="86">
        <v>-117.7</v>
      </c>
      <c r="J10" s="86">
        <v>-117.7</v>
      </c>
      <c r="K10" s="86">
        <v>-117.7</v>
      </c>
      <c r="L10" s="86">
        <v>-117.7</v>
      </c>
      <c r="M10" s="86">
        <v>-117.7</v>
      </c>
      <c r="N10" s="86">
        <v>-117.7</v>
      </c>
      <c r="O10" s="86">
        <v>-117.7</v>
      </c>
      <c r="P10" s="86">
        <v>-117.7</v>
      </c>
      <c r="Q10" s="86">
        <v>-117.7</v>
      </c>
      <c r="R10" s="86">
        <v>-117.7</v>
      </c>
      <c r="S10" s="2"/>
      <c r="T10" s="2"/>
      <c r="U10" s="2"/>
      <c r="V10" s="2"/>
      <c r="W10" s="2"/>
      <c r="X10" s="2"/>
      <c r="Y10" s="2"/>
      <c r="Z10" s="2"/>
    </row>
    <row r="11">
      <c r="A11" s="71">
        <v>26.0</v>
      </c>
      <c r="B11" s="72" t="s">
        <v>407</v>
      </c>
      <c r="C11" s="73">
        <v>1.0</v>
      </c>
      <c r="D11" s="72" t="s">
        <v>19</v>
      </c>
      <c r="E11" s="84" t="s">
        <v>404</v>
      </c>
      <c r="F11" s="85">
        <v>-69.25</v>
      </c>
      <c r="G11" s="85">
        <v>-76.17</v>
      </c>
      <c r="H11" s="86">
        <v>-76.17</v>
      </c>
      <c r="I11" s="86">
        <v>-76.17</v>
      </c>
      <c r="J11" s="86">
        <v>-76.17</v>
      </c>
      <c r="K11" s="86">
        <v>-76.17</v>
      </c>
      <c r="L11" s="86">
        <v>-76.17</v>
      </c>
      <c r="M11" s="86">
        <v>-76.17</v>
      </c>
      <c r="N11" s="86">
        <v>-76.17</v>
      </c>
      <c r="O11" s="86">
        <v>-76.17</v>
      </c>
      <c r="P11" s="86">
        <v>-76.17</v>
      </c>
      <c r="Q11" s="86">
        <v>-76.17</v>
      </c>
      <c r="R11" s="86">
        <v>-76.17</v>
      </c>
      <c r="S11" s="2"/>
      <c r="T11" s="2"/>
      <c r="U11" s="2"/>
      <c r="V11" s="2"/>
      <c r="W11" s="2"/>
      <c r="X11" s="2"/>
      <c r="Y11" s="2"/>
      <c r="Z11" s="2"/>
    </row>
    <row r="12">
      <c r="A12" s="71">
        <v>27.0</v>
      </c>
      <c r="B12" s="72" t="s">
        <v>407</v>
      </c>
      <c r="C12" s="73">
        <v>1.0</v>
      </c>
      <c r="D12" s="72" t="s">
        <v>20</v>
      </c>
      <c r="E12" s="84" t="s">
        <v>404</v>
      </c>
      <c r="F12" s="85">
        <v>-69.25</v>
      </c>
      <c r="G12" s="85">
        <v>-76.17</v>
      </c>
      <c r="H12" s="86">
        <v>-76.17</v>
      </c>
      <c r="I12" s="86">
        <v>-76.17</v>
      </c>
      <c r="J12" s="86">
        <v>-76.17</v>
      </c>
      <c r="K12" s="86">
        <v>-76.17</v>
      </c>
      <c r="L12" s="86">
        <v>-76.17</v>
      </c>
      <c r="M12" s="86">
        <v>-76.17</v>
      </c>
      <c r="N12" s="86">
        <v>-76.17</v>
      </c>
      <c r="O12" s="86">
        <v>-76.17</v>
      </c>
      <c r="P12" s="86">
        <v>-76.17</v>
      </c>
      <c r="Q12" s="86">
        <v>-76.17</v>
      </c>
      <c r="R12" s="86">
        <v>-76.17</v>
      </c>
      <c r="S12" s="2"/>
      <c r="T12" s="2"/>
      <c r="U12" s="2"/>
      <c r="V12" s="2"/>
      <c r="W12" s="2"/>
      <c r="X12" s="2"/>
      <c r="Y12" s="2"/>
      <c r="Z12" s="2"/>
    </row>
    <row r="13">
      <c r="A13" s="64">
        <v>28.0</v>
      </c>
      <c r="B13" s="72" t="s">
        <v>407</v>
      </c>
      <c r="C13" s="73">
        <v>1.0</v>
      </c>
      <c r="D13" s="72" t="s">
        <v>21</v>
      </c>
      <c r="E13" s="84" t="s">
        <v>404</v>
      </c>
      <c r="F13" s="85">
        <v>-69.24</v>
      </c>
      <c r="G13" s="85">
        <v>-76.17</v>
      </c>
      <c r="H13" s="86">
        <v>-76.17</v>
      </c>
      <c r="I13" s="86">
        <v>-76.17</v>
      </c>
      <c r="J13" s="86">
        <v>-76.17</v>
      </c>
      <c r="K13" s="86">
        <v>-76.17</v>
      </c>
      <c r="L13" s="86">
        <v>-76.17</v>
      </c>
      <c r="M13" s="86">
        <v>-76.17</v>
      </c>
      <c r="N13" s="86">
        <v>-76.17</v>
      </c>
      <c r="O13" s="86">
        <v>-76.17</v>
      </c>
      <c r="P13" s="86">
        <v>-76.17</v>
      </c>
      <c r="Q13" s="86">
        <v>-76.17</v>
      </c>
      <c r="R13" s="86">
        <v>-76.17</v>
      </c>
      <c r="S13" s="2"/>
      <c r="T13" s="2"/>
      <c r="U13" s="2"/>
      <c r="V13" s="2"/>
      <c r="W13" s="2"/>
      <c r="X13" s="2"/>
      <c r="Y13" s="2"/>
      <c r="Z13" s="2"/>
    </row>
    <row r="14">
      <c r="A14" s="71">
        <v>29.0</v>
      </c>
      <c r="B14" s="72" t="s">
        <v>407</v>
      </c>
      <c r="C14" s="73">
        <v>1.0</v>
      </c>
      <c r="D14" s="72" t="s">
        <v>24</v>
      </c>
      <c r="E14" s="84" t="s">
        <v>404</v>
      </c>
      <c r="F14" s="85">
        <v>-107.0</v>
      </c>
      <c r="G14" s="85">
        <v>-117.7</v>
      </c>
      <c r="H14" s="86">
        <v>-117.7</v>
      </c>
      <c r="I14" s="86">
        <v>-117.7</v>
      </c>
      <c r="J14" s="86">
        <v>-117.7</v>
      </c>
      <c r="K14" s="86">
        <v>-117.7</v>
      </c>
      <c r="L14" s="86">
        <v>-117.7</v>
      </c>
      <c r="M14" s="86">
        <v>-117.7</v>
      </c>
      <c r="N14" s="86">
        <v>-117.7</v>
      </c>
      <c r="O14" s="86">
        <v>-117.7</v>
      </c>
      <c r="P14" s="86">
        <v>-117.7</v>
      </c>
      <c r="Q14" s="86">
        <v>-117.7</v>
      </c>
      <c r="R14" s="86">
        <v>-117.7</v>
      </c>
      <c r="S14" s="2"/>
      <c r="T14" s="2"/>
      <c r="U14" s="2"/>
      <c r="V14" s="2"/>
      <c r="W14" s="2"/>
      <c r="X14" s="2"/>
      <c r="Y14" s="2"/>
      <c r="Z14" s="2"/>
    </row>
    <row r="15">
      <c r="A15" s="71">
        <v>30.0</v>
      </c>
      <c r="B15" s="72" t="s">
        <v>407</v>
      </c>
      <c r="C15" s="73">
        <v>1.0</v>
      </c>
      <c r="D15" s="72" t="s">
        <v>25</v>
      </c>
      <c r="E15" s="84" t="s">
        <v>404</v>
      </c>
      <c r="F15" s="85">
        <v>-107.0</v>
      </c>
      <c r="G15" s="85">
        <v>-117.7</v>
      </c>
      <c r="H15" s="86">
        <v>-117.7</v>
      </c>
      <c r="I15" s="86">
        <v>-117.7</v>
      </c>
      <c r="J15" s="86">
        <v>-117.7</v>
      </c>
      <c r="K15" s="86">
        <v>-117.7</v>
      </c>
      <c r="L15" s="86">
        <v>-117.7</v>
      </c>
      <c r="M15" s="86">
        <v>-117.7</v>
      </c>
      <c r="N15" s="86">
        <v>-117.7</v>
      </c>
      <c r="O15" s="86">
        <v>-117.7</v>
      </c>
      <c r="P15" s="86">
        <v>-117.7</v>
      </c>
      <c r="Q15" s="86">
        <v>-117.7</v>
      </c>
      <c r="R15" s="86">
        <v>-117.7</v>
      </c>
      <c r="S15" s="2"/>
      <c r="T15" s="2"/>
      <c r="U15" s="2"/>
      <c r="V15" s="2"/>
      <c r="W15" s="2"/>
      <c r="X15" s="2"/>
      <c r="Y15" s="2"/>
      <c r="Z15" s="2"/>
    </row>
    <row r="16">
      <c r="A16" s="64">
        <v>31.0</v>
      </c>
      <c r="B16" s="72" t="s">
        <v>407</v>
      </c>
      <c r="C16" s="73">
        <v>1.0</v>
      </c>
      <c r="D16" s="72" t="s">
        <v>26</v>
      </c>
      <c r="E16" s="84" t="s">
        <v>404</v>
      </c>
      <c r="F16" s="85">
        <v>-107.0</v>
      </c>
      <c r="G16" s="85">
        <v>-117.7</v>
      </c>
      <c r="H16" s="86">
        <v>-117.7</v>
      </c>
      <c r="I16" s="86">
        <v>-117.7</v>
      </c>
      <c r="J16" s="86">
        <v>-117.7</v>
      </c>
      <c r="K16" s="86">
        <v>-117.7</v>
      </c>
      <c r="L16" s="86">
        <v>-117.7</v>
      </c>
      <c r="M16" s="86">
        <v>-117.7</v>
      </c>
      <c r="N16" s="86">
        <v>-117.7</v>
      </c>
      <c r="O16" s="86">
        <v>-117.7</v>
      </c>
      <c r="P16" s="86">
        <v>-117.7</v>
      </c>
      <c r="Q16" s="86">
        <v>-117.7</v>
      </c>
      <c r="R16" s="86">
        <v>-117.7</v>
      </c>
      <c r="S16" s="2"/>
      <c r="T16" s="2"/>
      <c r="U16" s="2"/>
      <c r="V16" s="2"/>
      <c r="W16" s="2"/>
      <c r="X16" s="2"/>
      <c r="Y16" s="2"/>
      <c r="Z16" s="2"/>
    </row>
    <row r="17">
      <c r="A17" s="71">
        <v>32.0</v>
      </c>
      <c r="B17" s="72" t="s">
        <v>407</v>
      </c>
      <c r="C17" s="73">
        <v>1.0</v>
      </c>
      <c r="D17" s="72" t="s">
        <v>28</v>
      </c>
      <c r="E17" s="84" t="s">
        <v>404</v>
      </c>
      <c r="F17" s="85">
        <v>-26.99</v>
      </c>
      <c r="G17" s="85">
        <v>-26.99</v>
      </c>
      <c r="H17" s="86">
        <v>-26.99</v>
      </c>
      <c r="I17" s="86">
        <v>-26.99</v>
      </c>
      <c r="J17" s="86">
        <v>-26.99</v>
      </c>
      <c r="K17" s="86">
        <v>-26.99</v>
      </c>
      <c r="L17" s="86">
        <v>-26.99</v>
      </c>
      <c r="M17" s="86">
        <v>-26.99</v>
      </c>
      <c r="N17" s="86">
        <v>-26.99</v>
      </c>
      <c r="O17" s="86">
        <v>-26.99</v>
      </c>
      <c r="P17" s="86">
        <v>-26.99</v>
      </c>
      <c r="Q17" s="86">
        <v>-26.99</v>
      </c>
      <c r="R17" s="86">
        <v>-26.99</v>
      </c>
      <c r="S17" s="2"/>
      <c r="T17" s="2"/>
      <c r="U17" s="2"/>
      <c r="V17" s="2"/>
      <c r="W17" s="2"/>
      <c r="X17" s="2"/>
      <c r="Y17" s="2"/>
      <c r="Z17" s="2"/>
    </row>
    <row r="18">
      <c r="A18" s="71">
        <v>33.0</v>
      </c>
      <c r="B18" s="72" t="s">
        <v>407</v>
      </c>
      <c r="C18" s="73">
        <v>1.0</v>
      </c>
      <c r="D18" s="72" t="s">
        <v>29</v>
      </c>
      <c r="E18" s="84" t="s">
        <v>404</v>
      </c>
      <c r="F18" s="85">
        <v>-35.59</v>
      </c>
      <c r="G18" s="85">
        <v>-35.59</v>
      </c>
      <c r="H18" s="86">
        <v>-35.59</v>
      </c>
      <c r="I18" s="86">
        <v>-35.59</v>
      </c>
      <c r="J18" s="86">
        <v>-35.59</v>
      </c>
      <c r="K18" s="86">
        <v>-35.59</v>
      </c>
      <c r="L18" s="86">
        <v>-35.59</v>
      </c>
      <c r="M18" s="86">
        <v>-35.59</v>
      </c>
      <c r="N18" s="86">
        <v>-35.59</v>
      </c>
      <c r="O18" s="86">
        <v>-35.59</v>
      </c>
      <c r="P18" s="86">
        <v>-35.59</v>
      </c>
      <c r="Q18" s="86">
        <v>-35.59</v>
      </c>
      <c r="R18" s="86">
        <v>-35.59</v>
      </c>
      <c r="S18" s="2"/>
      <c r="T18" s="2"/>
      <c r="U18" s="2"/>
      <c r="V18" s="2"/>
      <c r="W18" s="2"/>
      <c r="X18" s="2"/>
      <c r="Y18" s="2"/>
      <c r="Z18" s="2"/>
    </row>
    <row r="19">
      <c r="A19" s="71">
        <v>36.0</v>
      </c>
      <c r="B19" s="72" t="s">
        <v>407</v>
      </c>
      <c r="C19" s="73">
        <v>1.0</v>
      </c>
      <c r="D19" s="72" t="s">
        <v>40</v>
      </c>
      <c r="E19" s="84" t="s">
        <v>404</v>
      </c>
      <c r="F19" s="85">
        <v>-1045.02</v>
      </c>
      <c r="G19" s="85">
        <v>-1045.02</v>
      </c>
      <c r="H19" s="86">
        <v>-1045.02</v>
      </c>
      <c r="I19" s="86">
        <v>-1045.02</v>
      </c>
      <c r="J19" s="86">
        <v>-1045.02</v>
      </c>
      <c r="K19" s="86">
        <v>-1045.02</v>
      </c>
      <c r="L19" s="86">
        <v>-1045.02</v>
      </c>
      <c r="M19" s="86">
        <v>-1045.02</v>
      </c>
      <c r="N19" s="86">
        <v>-1045.02</v>
      </c>
      <c r="O19" s="86">
        <v>-1045.02</v>
      </c>
      <c r="P19" s="86">
        <v>-1045.02</v>
      </c>
      <c r="Q19" s="86">
        <v>-1045.02</v>
      </c>
      <c r="R19" s="86">
        <v>-1045.02</v>
      </c>
      <c r="S19" s="2"/>
      <c r="T19" s="2"/>
      <c r="U19" s="2"/>
      <c r="V19" s="2"/>
      <c r="W19" s="2"/>
      <c r="X19" s="2"/>
      <c r="Y19" s="2"/>
      <c r="Z19" s="2"/>
    </row>
    <row r="20">
      <c r="A20" s="64">
        <v>7.0</v>
      </c>
      <c r="B20" s="72" t="s">
        <v>407</v>
      </c>
      <c r="C20" s="73">
        <v>1.0</v>
      </c>
      <c r="D20" s="72" t="s">
        <v>408</v>
      </c>
      <c r="E20" s="84" t="s">
        <v>404</v>
      </c>
      <c r="F20" s="85">
        <v>-4.99</v>
      </c>
      <c r="G20" s="85">
        <v>-5.99</v>
      </c>
      <c r="H20" s="86">
        <v>-5.99</v>
      </c>
      <c r="I20" s="86">
        <v>-5.99</v>
      </c>
      <c r="J20" s="86">
        <v>-5.99</v>
      </c>
      <c r="K20" s="86">
        <v>-5.99</v>
      </c>
      <c r="L20" s="86">
        <v>-5.99</v>
      </c>
      <c r="M20" s="86">
        <v>-5.99</v>
      </c>
      <c r="N20" s="86">
        <v>-5.99</v>
      </c>
      <c r="O20" s="86">
        <v>-5.99</v>
      </c>
      <c r="P20" s="86">
        <v>-5.99</v>
      </c>
      <c r="Q20" s="86">
        <v>-5.99</v>
      </c>
      <c r="R20" s="86">
        <v>-5.99</v>
      </c>
      <c r="S20" s="2"/>
      <c r="T20" s="2"/>
      <c r="U20" s="2"/>
      <c r="V20" s="2"/>
      <c r="W20" s="2"/>
      <c r="X20" s="2"/>
      <c r="Y20" s="2"/>
      <c r="Z20" s="2"/>
    </row>
    <row r="21">
      <c r="A21" s="71">
        <v>6.0</v>
      </c>
      <c r="B21" s="72" t="s">
        <v>407</v>
      </c>
      <c r="C21" s="73">
        <v>1.0</v>
      </c>
      <c r="D21" s="72" t="s">
        <v>409</v>
      </c>
      <c r="E21" s="84" t="s">
        <v>404</v>
      </c>
      <c r="F21" s="85">
        <v>-4.99</v>
      </c>
      <c r="G21" s="85">
        <v>-5.99</v>
      </c>
      <c r="H21" s="86">
        <v>-5.99</v>
      </c>
      <c r="I21" s="86">
        <v>-5.99</v>
      </c>
      <c r="J21" s="86">
        <v>-5.99</v>
      </c>
      <c r="K21" s="86">
        <v>-5.99</v>
      </c>
      <c r="L21" s="86">
        <v>-5.99</v>
      </c>
      <c r="M21" s="86">
        <v>-5.99</v>
      </c>
      <c r="N21" s="86">
        <v>-5.99</v>
      </c>
      <c r="O21" s="86">
        <v>-5.99</v>
      </c>
      <c r="P21" s="86">
        <v>-5.99</v>
      </c>
      <c r="Q21" s="86">
        <v>-5.99</v>
      </c>
      <c r="R21" s="86">
        <v>-5.99</v>
      </c>
      <c r="S21" s="2"/>
      <c r="T21" s="2"/>
      <c r="U21" s="2"/>
      <c r="V21" s="2"/>
      <c r="W21" s="2"/>
      <c r="X21" s="2"/>
      <c r="Y21" s="2"/>
      <c r="Z21" s="2"/>
    </row>
    <row r="22">
      <c r="A22" s="64">
        <v>37.0</v>
      </c>
      <c r="B22" s="72" t="s">
        <v>407</v>
      </c>
      <c r="C22" s="73">
        <v>1.0</v>
      </c>
      <c r="D22" s="72" t="s">
        <v>46</v>
      </c>
      <c r="E22" s="84" t="s">
        <v>404</v>
      </c>
      <c r="F22" s="85">
        <v>-268.39</v>
      </c>
      <c r="G22" s="85">
        <v>-268.39</v>
      </c>
      <c r="H22" s="86">
        <v>-275.81</v>
      </c>
      <c r="I22" s="86">
        <v>-275.81</v>
      </c>
      <c r="J22" s="86">
        <v>-275.81</v>
      </c>
      <c r="K22" s="86">
        <v>-275.81</v>
      </c>
      <c r="L22" s="86">
        <v>-275.81</v>
      </c>
      <c r="M22" s="86">
        <v>-275.81</v>
      </c>
      <c r="N22" s="86">
        <v>-275.81</v>
      </c>
      <c r="O22" s="86">
        <v>-275.81</v>
      </c>
      <c r="P22" s="86">
        <v>-275.81</v>
      </c>
      <c r="Q22" s="86">
        <v>-275.81</v>
      </c>
      <c r="R22" s="86">
        <v>-275.81</v>
      </c>
      <c r="S22" s="2"/>
      <c r="T22" s="2"/>
      <c r="U22" s="2"/>
      <c r="V22" s="2"/>
      <c r="W22" s="2"/>
      <c r="X22" s="2"/>
      <c r="Y22" s="2"/>
      <c r="Z22" s="2"/>
    </row>
    <row r="23">
      <c r="A23" s="71">
        <v>38.0</v>
      </c>
      <c r="B23" s="72" t="s">
        <v>407</v>
      </c>
      <c r="C23" s="73">
        <v>1.0</v>
      </c>
      <c r="D23" s="72" t="s">
        <v>51</v>
      </c>
      <c r="E23" s="84" t="s">
        <v>404</v>
      </c>
      <c r="F23" s="85">
        <v>-357.06</v>
      </c>
      <c r="G23" s="85">
        <v>-357.06</v>
      </c>
      <c r="H23" s="86">
        <v>-357.06</v>
      </c>
      <c r="I23" s="86">
        <v>-357.06</v>
      </c>
      <c r="J23" s="86">
        <v>-357.06</v>
      </c>
      <c r="K23" s="86">
        <v>-357.06</v>
      </c>
      <c r="L23" s="86">
        <v>-357.06</v>
      </c>
      <c r="M23" s="86">
        <v>-357.06</v>
      </c>
      <c r="N23" s="86">
        <v>-357.06</v>
      </c>
      <c r="O23" s="86">
        <v>-357.06</v>
      </c>
      <c r="P23" s="86">
        <v>-357.06</v>
      </c>
      <c r="Q23" s="86">
        <v>-357.06</v>
      </c>
      <c r="R23" s="86">
        <v>-357.06</v>
      </c>
      <c r="S23" s="2"/>
      <c r="T23" s="2"/>
      <c r="U23" s="2"/>
      <c r="V23" s="2"/>
      <c r="W23" s="2"/>
      <c r="X23" s="2"/>
      <c r="Y23" s="2"/>
      <c r="Z23" s="2"/>
    </row>
    <row r="24">
      <c r="A24" s="71">
        <v>39.0</v>
      </c>
      <c r="B24" s="72" t="s">
        <v>407</v>
      </c>
      <c r="C24" s="73">
        <v>1.0</v>
      </c>
      <c r="D24" s="72" t="s">
        <v>52</v>
      </c>
      <c r="E24" s="84" t="s">
        <v>404</v>
      </c>
      <c r="F24" s="85">
        <v>-618.24</v>
      </c>
      <c r="G24" s="85">
        <v>-618.24</v>
      </c>
      <c r="H24" s="86">
        <v>-621.57</v>
      </c>
      <c r="I24" s="86">
        <v>-621.57</v>
      </c>
      <c r="J24" s="86">
        <v>-621.57</v>
      </c>
      <c r="K24" s="86">
        <v>-621.57</v>
      </c>
      <c r="L24" s="86">
        <v>-621.57</v>
      </c>
      <c r="M24" s="86">
        <v>-621.57</v>
      </c>
      <c r="N24" s="86">
        <v>-621.57</v>
      </c>
      <c r="O24" s="86">
        <v>-621.57</v>
      </c>
      <c r="P24" s="86">
        <v>-621.57</v>
      </c>
      <c r="Q24" s="86">
        <v>-621.57</v>
      </c>
      <c r="R24" s="86">
        <v>-621.57</v>
      </c>
      <c r="S24" s="2"/>
      <c r="T24" s="2"/>
      <c r="U24" s="2"/>
      <c r="V24" s="2"/>
      <c r="W24" s="2"/>
      <c r="X24" s="2"/>
      <c r="Y24" s="2"/>
      <c r="Z24" s="2"/>
    </row>
    <row r="25">
      <c r="A25" s="64">
        <v>40.0</v>
      </c>
      <c r="B25" s="72" t="s">
        <v>407</v>
      </c>
      <c r="C25" s="73">
        <v>1.0</v>
      </c>
      <c r="D25" s="72" t="s">
        <v>53</v>
      </c>
      <c r="E25" s="84" t="s">
        <v>404</v>
      </c>
      <c r="F25" s="85">
        <v>-325.23</v>
      </c>
      <c r="G25" s="85">
        <v>-325.23</v>
      </c>
      <c r="H25" s="86">
        <v>-312.29</v>
      </c>
      <c r="I25" s="86">
        <v>-312.29</v>
      </c>
      <c r="J25" s="86">
        <v>-312.29</v>
      </c>
      <c r="K25" s="86">
        <v>-312.29</v>
      </c>
      <c r="L25" s="86">
        <v>-312.29</v>
      </c>
      <c r="M25" s="86">
        <v>-312.29</v>
      </c>
      <c r="N25" s="86">
        <v>-312.29</v>
      </c>
      <c r="O25" s="86">
        <v>-312.29</v>
      </c>
      <c r="P25" s="86">
        <v>-312.29</v>
      </c>
      <c r="Q25" s="86">
        <v>-312.29</v>
      </c>
      <c r="R25" s="86">
        <v>-312.29</v>
      </c>
      <c r="S25" s="2"/>
      <c r="T25" s="2"/>
      <c r="U25" s="2"/>
      <c r="V25" s="2"/>
      <c r="W25" s="2"/>
      <c r="X25" s="2"/>
      <c r="Y25" s="2"/>
      <c r="Z25" s="2"/>
    </row>
    <row r="26">
      <c r="A26" s="71">
        <v>8.0</v>
      </c>
      <c r="B26" s="72" t="s">
        <v>407</v>
      </c>
      <c r="C26" s="73">
        <v>1.0</v>
      </c>
      <c r="D26" s="72" t="s">
        <v>59</v>
      </c>
      <c r="E26" s="84" t="s">
        <v>404</v>
      </c>
      <c r="F26" s="87">
        <v>650.0</v>
      </c>
      <c r="G26" s="85">
        <v>650.0</v>
      </c>
      <c r="H26" s="88">
        <v>650.0</v>
      </c>
      <c r="I26" s="88">
        <v>650.0</v>
      </c>
      <c r="J26" s="88">
        <v>650.0</v>
      </c>
      <c r="K26" s="88">
        <v>650.0</v>
      </c>
      <c r="L26" s="88">
        <v>650.0</v>
      </c>
      <c r="M26" s="88">
        <v>650.0</v>
      </c>
      <c r="N26" s="88">
        <v>650.0</v>
      </c>
      <c r="O26" s="88">
        <v>650.0</v>
      </c>
      <c r="P26" s="88">
        <v>650.0</v>
      </c>
      <c r="Q26" s="88">
        <v>650.0</v>
      </c>
      <c r="R26" s="88">
        <v>650.0</v>
      </c>
      <c r="S26" s="2"/>
      <c r="T26" s="2"/>
      <c r="U26" s="2"/>
      <c r="V26" s="2"/>
      <c r="W26" s="2"/>
      <c r="X26" s="2"/>
      <c r="Y26" s="2"/>
      <c r="Z26" s="2"/>
    </row>
    <row r="27">
      <c r="A27" s="71">
        <v>42.0</v>
      </c>
      <c r="B27" s="72" t="s">
        <v>407</v>
      </c>
      <c r="C27" s="73">
        <v>1.0</v>
      </c>
      <c r="D27" s="72" t="s">
        <v>60</v>
      </c>
      <c r="E27" s="84" t="s">
        <v>404</v>
      </c>
      <c r="F27" s="87">
        <v>650.0</v>
      </c>
      <c r="G27" s="85">
        <v>650.0</v>
      </c>
      <c r="H27" s="88">
        <v>650.0</v>
      </c>
      <c r="I27" s="88">
        <v>650.0</v>
      </c>
      <c r="J27" s="88">
        <v>650.0</v>
      </c>
      <c r="K27" s="88">
        <v>650.0</v>
      </c>
      <c r="L27" s="88">
        <v>650.0</v>
      </c>
      <c r="M27" s="88">
        <v>650.0</v>
      </c>
      <c r="N27" s="88">
        <v>650.0</v>
      </c>
      <c r="O27" s="88">
        <v>650.0</v>
      </c>
      <c r="P27" s="88">
        <v>650.0</v>
      </c>
      <c r="Q27" s="88">
        <v>650.0</v>
      </c>
      <c r="R27" s="88">
        <v>650.0</v>
      </c>
      <c r="S27" s="2"/>
      <c r="T27" s="2"/>
      <c r="U27" s="2"/>
      <c r="V27" s="2"/>
      <c r="W27" s="2"/>
      <c r="X27" s="2"/>
      <c r="Y27" s="2"/>
      <c r="Z27" s="2"/>
    </row>
    <row r="28">
      <c r="A28" s="64">
        <v>43.0</v>
      </c>
      <c r="B28" s="72" t="s">
        <v>407</v>
      </c>
      <c r="C28" s="73">
        <v>1.0</v>
      </c>
      <c r="D28" s="72" t="s">
        <v>61</v>
      </c>
      <c r="E28" s="84" t="s">
        <v>404</v>
      </c>
      <c r="F28" s="87">
        <v>625.0</v>
      </c>
      <c r="G28" s="89">
        <v>625.0</v>
      </c>
      <c r="H28" s="88">
        <v>625.0</v>
      </c>
      <c r="I28" s="88">
        <v>625.0</v>
      </c>
      <c r="J28" s="88">
        <v>625.0</v>
      </c>
      <c r="K28" s="88">
        <v>625.0</v>
      </c>
      <c r="L28" s="88">
        <v>625.0</v>
      </c>
      <c r="M28" s="88">
        <v>625.0</v>
      </c>
      <c r="N28" s="88">
        <v>625.0</v>
      </c>
      <c r="O28" s="88">
        <v>625.0</v>
      </c>
      <c r="P28" s="88">
        <v>625.0</v>
      </c>
      <c r="Q28" s="88">
        <v>625.0</v>
      </c>
      <c r="R28" s="88">
        <v>625.0</v>
      </c>
      <c r="S28" s="2"/>
      <c r="T28" s="2"/>
      <c r="U28" s="2"/>
      <c r="V28" s="2"/>
      <c r="W28" s="2"/>
      <c r="X28" s="2"/>
      <c r="Y28" s="2"/>
      <c r="Z28" s="2"/>
    </row>
    <row r="29">
      <c r="A29" s="71">
        <v>44.0</v>
      </c>
      <c r="B29" s="72" t="s">
        <v>407</v>
      </c>
      <c r="C29" s="73">
        <v>1.0</v>
      </c>
      <c r="D29" s="72" t="s">
        <v>62</v>
      </c>
      <c r="E29" s="84" t="s">
        <v>404</v>
      </c>
      <c r="F29" s="87">
        <v>625.0</v>
      </c>
      <c r="G29" s="89">
        <v>625.0</v>
      </c>
      <c r="H29" s="88">
        <v>625.0</v>
      </c>
      <c r="I29" s="88">
        <v>625.0</v>
      </c>
      <c r="J29" s="88">
        <v>625.0</v>
      </c>
      <c r="K29" s="88">
        <v>625.0</v>
      </c>
      <c r="L29" s="88">
        <v>625.0</v>
      </c>
      <c r="M29" s="88">
        <v>625.0</v>
      </c>
      <c r="N29" s="88">
        <v>625.0</v>
      </c>
      <c r="O29" s="88">
        <v>625.0</v>
      </c>
      <c r="P29" s="88">
        <v>625.0</v>
      </c>
      <c r="Q29" s="88">
        <v>625.0</v>
      </c>
      <c r="R29" s="88">
        <v>625.0</v>
      </c>
      <c r="S29" s="2"/>
      <c r="T29" s="2"/>
      <c r="U29" s="2"/>
      <c r="V29" s="2"/>
      <c r="W29" s="2"/>
      <c r="X29" s="2"/>
      <c r="Y29" s="2"/>
      <c r="Z29" s="2"/>
    </row>
    <row r="30">
      <c r="A30" s="71">
        <v>45.0</v>
      </c>
      <c r="B30" s="72" t="s">
        <v>407</v>
      </c>
      <c r="C30" s="73">
        <v>1.0</v>
      </c>
      <c r="D30" s="72" t="s">
        <v>63</v>
      </c>
      <c r="E30" s="84" t="s">
        <v>404</v>
      </c>
      <c r="F30" s="87">
        <v>625.0</v>
      </c>
      <c r="G30" s="85">
        <v>270.83</v>
      </c>
      <c r="H30" s="88">
        <v>625.0</v>
      </c>
      <c r="I30" s="88">
        <v>625.0</v>
      </c>
      <c r="J30" s="88">
        <v>625.0</v>
      </c>
      <c r="K30" s="88">
        <v>625.0</v>
      </c>
      <c r="L30" s="88">
        <v>625.0</v>
      </c>
      <c r="M30" s="88">
        <v>625.0</v>
      </c>
      <c r="N30" s="88">
        <v>625.0</v>
      </c>
      <c r="O30" s="88">
        <v>625.0</v>
      </c>
      <c r="P30" s="88">
        <v>625.0</v>
      </c>
      <c r="Q30" s="88">
        <v>625.0</v>
      </c>
      <c r="R30" s="88">
        <v>625.0</v>
      </c>
      <c r="S30" s="2"/>
      <c r="T30" s="2"/>
      <c r="U30" s="2"/>
      <c r="V30" s="2"/>
      <c r="W30" s="2"/>
      <c r="X30" s="2"/>
      <c r="Y30" s="2"/>
      <c r="Z30" s="2"/>
    </row>
    <row r="31">
      <c r="A31" s="64">
        <v>46.0</v>
      </c>
      <c r="B31" s="72" t="s">
        <v>407</v>
      </c>
      <c r="C31" s="73">
        <v>1.0</v>
      </c>
      <c r="D31" s="72" t="s">
        <v>64</v>
      </c>
      <c r="E31" s="84" t="s">
        <v>404</v>
      </c>
      <c r="F31" s="87">
        <v>650.0</v>
      </c>
      <c r="G31" s="85">
        <v>650.0</v>
      </c>
      <c r="H31" s="88">
        <v>650.0</v>
      </c>
      <c r="I31" s="88">
        <v>650.0</v>
      </c>
      <c r="J31" s="88">
        <v>650.0</v>
      </c>
      <c r="K31" s="88">
        <v>650.0</v>
      </c>
      <c r="L31" s="88">
        <v>650.0</v>
      </c>
      <c r="M31" s="88">
        <v>650.0</v>
      </c>
      <c r="N31" s="88">
        <v>650.0</v>
      </c>
      <c r="O31" s="88">
        <v>650.0</v>
      </c>
      <c r="P31" s="88">
        <v>650.0</v>
      </c>
      <c r="Q31" s="88">
        <v>650.0</v>
      </c>
      <c r="R31" s="88">
        <v>650.0</v>
      </c>
      <c r="S31" s="2"/>
      <c r="T31" s="2"/>
      <c r="U31" s="2"/>
      <c r="V31" s="2"/>
      <c r="W31" s="2"/>
      <c r="X31" s="2"/>
      <c r="Y31" s="2"/>
      <c r="Z31" s="2"/>
    </row>
    <row r="32">
      <c r="A32" s="71">
        <v>47.0</v>
      </c>
      <c r="B32" s="72" t="s">
        <v>407</v>
      </c>
      <c r="C32" s="73">
        <v>1.0</v>
      </c>
      <c r="D32" s="72" t="s">
        <v>65</v>
      </c>
      <c r="E32" s="84" t="s">
        <v>404</v>
      </c>
      <c r="F32" s="87">
        <v>650.0</v>
      </c>
      <c r="G32" s="85">
        <v>650.0</v>
      </c>
      <c r="H32" s="88">
        <v>650.0</v>
      </c>
      <c r="I32" s="88">
        <v>650.0</v>
      </c>
      <c r="J32" s="88">
        <v>650.0</v>
      </c>
      <c r="K32" s="88">
        <v>650.0</v>
      </c>
      <c r="L32" s="88">
        <v>650.0</v>
      </c>
      <c r="M32" s="88">
        <v>650.0</v>
      </c>
      <c r="N32" s="88">
        <v>650.0</v>
      </c>
      <c r="O32" s="88">
        <v>650.0</v>
      </c>
      <c r="P32" s="88">
        <v>650.0</v>
      </c>
      <c r="Q32" s="88">
        <v>650.0</v>
      </c>
      <c r="R32" s="88">
        <v>650.0</v>
      </c>
      <c r="S32" s="2"/>
      <c r="T32" s="2"/>
      <c r="U32" s="2"/>
      <c r="V32" s="2"/>
      <c r="W32" s="2"/>
      <c r="X32" s="2"/>
      <c r="Y32" s="2"/>
      <c r="Z32" s="2"/>
    </row>
    <row r="33">
      <c r="A33" s="71">
        <v>48.0</v>
      </c>
      <c r="B33" s="72" t="s">
        <v>407</v>
      </c>
      <c r="C33" s="73">
        <v>1.0</v>
      </c>
      <c r="D33" s="72" t="s">
        <v>66</v>
      </c>
      <c r="E33" s="84" t="s">
        <v>404</v>
      </c>
      <c r="F33" s="90">
        <v>625.0</v>
      </c>
      <c r="G33" s="55">
        <v>625.0</v>
      </c>
      <c r="H33" s="88">
        <v>625.0</v>
      </c>
      <c r="I33" s="88">
        <v>625.0</v>
      </c>
      <c r="J33" s="88">
        <v>625.0</v>
      </c>
      <c r="K33" s="88">
        <v>625.0</v>
      </c>
      <c r="L33" s="88">
        <v>625.0</v>
      </c>
      <c r="M33" s="88">
        <v>625.0</v>
      </c>
      <c r="N33" s="88">
        <v>625.0</v>
      </c>
      <c r="O33" s="88">
        <v>625.0</v>
      </c>
      <c r="P33" s="88">
        <v>625.0</v>
      </c>
      <c r="Q33" s="88">
        <v>625.0</v>
      </c>
      <c r="R33" s="88">
        <v>625.0</v>
      </c>
      <c r="S33" s="2"/>
      <c r="T33" s="2"/>
      <c r="U33" s="2"/>
      <c r="V33" s="2"/>
      <c r="W33" s="2"/>
      <c r="X33" s="2"/>
      <c r="Y33" s="2"/>
      <c r="Z33" s="2"/>
    </row>
    <row r="34">
      <c r="A34" s="71">
        <v>9.0</v>
      </c>
      <c r="B34" s="72" t="s">
        <v>407</v>
      </c>
      <c r="C34" s="73">
        <v>1.0</v>
      </c>
      <c r="D34" s="72" t="s">
        <v>67</v>
      </c>
      <c r="E34" s="84" t="s">
        <v>404</v>
      </c>
      <c r="F34" s="87">
        <v>650.0</v>
      </c>
      <c r="G34" s="85">
        <v>650.0</v>
      </c>
      <c r="H34" s="88">
        <v>650.0</v>
      </c>
      <c r="I34" s="88">
        <v>650.0</v>
      </c>
      <c r="J34" s="88">
        <v>650.0</v>
      </c>
      <c r="K34" s="88">
        <v>650.0</v>
      </c>
      <c r="L34" s="88">
        <v>650.0</v>
      </c>
      <c r="M34" s="88">
        <v>650.0</v>
      </c>
      <c r="N34" s="88">
        <v>650.0</v>
      </c>
      <c r="O34" s="88">
        <v>650.0</v>
      </c>
      <c r="P34" s="88">
        <v>650.0</v>
      </c>
      <c r="Q34" s="88">
        <v>650.0</v>
      </c>
      <c r="R34" s="88">
        <v>650.0</v>
      </c>
      <c r="S34" s="2"/>
      <c r="T34" s="2"/>
      <c r="U34" s="2"/>
      <c r="V34" s="2"/>
      <c r="W34" s="2"/>
      <c r="X34" s="2"/>
      <c r="Y34" s="2"/>
      <c r="Z34" s="2"/>
    </row>
    <row r="35">
      <c r="A35" s="64">
        <v>10.0</v>
      </c>
      <c r="B35" s="72" t="s">
        <v>407</v>
      </c>
      <c r="C35" s="73">
        <v>1.0</v>
      </c>
      <c r="D35" s="72" t="s">
        <v>68</v>
      </c>
      <c r="E35" s="84" t="s">
        <v>404</v>
      </c>
      <c r="F35" s="87">
        <v>675.0</v>
      </c>
      <c r="G35" s="85">
        <v>675.0</v>
      </c>
      <c r="H35" s="88">
        <v>675.0</v>
      </c>
      <c r="I35" s="88">
        <v>675.0</v>
      </c>
      <c r="J35" s="88">
        <v>675.0</v>
      </c>
      <c r="K35" s="88">
        <v>675.0</v>
      </c>
      <c r="L35" s="88">
        <v>675.0</v>
      </c>
      <c r="M35" s="88">
        <v>675.0</v>
      </c>
      <c r="N35" s="88">
        <v>675.0</v>
      </c>
      <c r="O35" s="88">
        <v>675.0</v>
      </c>
      <c r="P35" s="88">
        <v>675.0</v>
      </c>
      <c r="Q35" s="88">
        <v>675.0</v>
      </c>
      <c r="R35" s="88">
        <v>675.0</v>
      </c>
      <c r="S35" s="2"/>
      <c r="T35" s="2"/>
      <c r="U35" s="2"/>
      <c r="V35" s="2"/>
      <c r="W35" s="2"/>
      <c r="X35" s="2"/>
      <c r="Y35" s="2"/>
      <c r="Z35" s="2"/>
    </row>
    <row r="36">
      <c r="A36" s="71">
        <v>11.0</v>
      </c>
      <c r="B36" s="72" t="s">
        <v>407</v>
      </c>
      <c r="C36" s="73">
        <v>1.0</v>
      </c>
      <c r="D36" s="2" t="s">
        <v>410</v>
      </c>
      <c r="E36" s="84" t="s">
        <v>404</v>
      </c>
      <c r="F36" s="85">
        <v>650.0</v>
      </c>
      <c r="G36" s="85">
        <v>650.0</v>
      </c>
      <c r="H36" s="86">
        <v>650.0</v>
      </c>
      <c r="I36" s="86">
        <v>650.0</v>
      </c>
      <c r="J36" s="86">
        <v>650.0</v>
      </c>
      <c r="K36" s="86">
        <v>650.0</v>
      </c>
      <c r="L36" s="86">
        <v>650.0</v>
      </c>
      <c r="M36" s="86">
        <v>650.0</v>
      </c>
      <c r="N36" s="86">
        <v>650.0</v>
      </c>
      <c r="O36" s="86">
        <v>650.0</v>
      </c>
      <c r="P36" s="86">
        <v>650.0</v>
      </c>
      <c r="Q36" s="86">
        <v>650.0</v>
      </c>
      <c r="R36" s="86">
        <v>650.0</v>
      </c>
      <c r="S36" s="2"/>
      <c r="T36" s="2"/>
      <c r="U36" s="2"/>
      <c r="V36" s="2"/>
      <c r="W36" s="2"/>
      <c r="X36" s="2"/>
      <c r="Y36" s="2"/>
      <c r="Z36" s="2"/>
    </row>
    <row r="37">
      <c r="A37" s="71">
        <v>12.0</v>
      </c>
      <c r="B37" s="72" t="s">
        <v>407</v>
      </c>
      <c r="C37" s="73">
        <v>1.0</v>
      </c>
      <c r="D37" s="2" t="s">
        <v>411</v>
      </c>
      <c r="E37" s="84" t="s">
        <v>404</v>
      </c>
      <c r="F37" s="55">
        <v>675.0</v>
      </c>
      <c r="G37" s="85">
        <v>675.0</v>
      </c>
      <c r="H37" s="86">
        <v>675.0</v>
      </c>
      <c r="I37" s="86">
        <v>675.0</v>
      </c>
      <c r="J37" s="86">
        <v>675.0</v>
      </c>
      <c r="K37" s="86">
        <v>675.0</v>
      </c>
      <c r="L37" s="86">
        <v>675.0</v>
      </c>
      <c r="M37" s="86">
        <v>675.0</v>
      </c>
      <c r="N37" s="86">
        <v>675.0</v>
      </c>
      <c r="O37" s="86">
        <v>675.0</v>
      </c>
      <c r="P37" s="86">
        <v>675.0</v>
      </c>
      <c r="Q37" s="86">
        <v>675.0</v>
      </c>
      <c r="R37" s="86">
        <v>675.0</v>
      </c>
      <c r="S37" s="2"/>
      <c r="T37" s="2"/>
      <c r="U37" s="2"/>
      <c r="V37" s="2"/>
      <c r="W37" s="2"/>
      <c r="X37" s="2"/>
      <c r="Y37" s="2"/>
      <c r="Z37" s="2"/>
    </row>
    <row r="38">
      <c r="A38" s="64">
        <v>49.0</v>
      </c>
      <c r="B38" s="72" t="s">
        <v>407</v>
      </c>
      <c r="C38" s="73">
        <v>1.0</v>
      </c>
      <c r="D38" s="2" t="s">
        <v>412</v>
      </c>
      <c r="E38" s="84" t="s">
        <v>404</v>
      </c>
      <c r="F38" s="85">
        <v>700.0</v>
      </c>
      <c r="G38" s="85">
        <v>700.0</v>
      </c>
      <c r="H38" s="86">
        <v>700.0</v>
      </c>
      <c r="I38" s="86">
        <v>700.0</v>
      </c>
      <c r="J38" s="86">
        <v>700.0</v>
      </c>
      <c r="K38" s="86">
        <v>700.0</v>
      </c>
      <c r="L38" s="86">
        <v>700.0</v>
      </c>
      <c r="M38" s="86">
        <v>700.0</v>
      </c>
      <c r="N38" s="86">
        <v>700.0</v>
      </c>
      <c r="O38" s="86">
        <v>700.0</v>
      </c>
      <c r="P38" s="86">
        <v>700.0</v>
      </c>
      <c r="Q38" s="86">
        <v>700.0</v>
      </c>
      <c r="R38" s="86">
        <v>700.0</v>
      </c>
      <c r="S38" s="2"/>
      <c r="T38" s="2"/>
      <c r="U38" s="2"/>
      <c r="V38" s="2"/>
      <c r="W38" s="2"/>
      <c r="X38" s="2"/>
      <c r="Y38" s="2"/>
      <c r="Z38" s="2"/>
    </row>
    <row r="39">
      <c r="A39" s="64">
        <v>13.0</v>
      </c>
      <c r="B39" s="72" t="s">
        <v>407</v>
      </c>
      <c r="C39" s="73">
        <v>1.0</v>
      </c>
      <c r="D39" s="2" t="s">
        <v>413</v>
      </c>
      <c r="E39" s="84" t="s">
        <v>404</v>
      </c>
      <c r="F39" s="85">
        <v>675.0</v>
      </c>
      <c r="G39" s="85">
        <v>675.0</v>
      </c>
      <c r="H39" s="86">
        <v>675.0</v>
      </c>
      <c r="I39" s="86">
        <v>675.0</v>
      </c>
      <c r="J39" s="86">
        <v>675.0</v>
      </c>
      <c r="K39" s="86">
        <v>675.0</v>
      </c>
      <c r="L39" s="86">
        <v>675.0</v>
      </c>
      <c r="M39" s="86">
        <v>675.0</v>
      </c>
      <c r="N39" s="86">
        <v>675.0</v>
      </c>
      <c r="O39" s="86">
        <v>675.0</v>
      </c>
      <c r="P39" s="86">
        <v>675.0</v>
      </c>
      <c r="Q39" s="86">
        <v>675.0</v>
      </c>
      <c r="R39" s="86">
        <v>675.0</v>
      </c>
      <c r="S39" s="2"/>
      <c r="T39" s="2"/>
      <c r="U39" s="2"/>
      <c r="V39" s="2"/>
      <c r="W39" s="2"/>
      <c r="X39" s="2"/>
      <c r="Y39" s="2"/>
      <c r="Z39" s="2"/>
    </row>
    <row r="40">
      <c r="A40" s="71">
        <v>14.0</v>
      </c>
      <c r="B40" s="72" t="s">
        <v>407</v>
      </c>
      <c r="C40" s="73">
        <v>1.0</v>
      </c>
      <c r="D40" s="2" t="s">
        <v>414</v>
      </c>
      <c r="E40" s="84" t="s">
        <v>404</v>
      </c>
      <c r="F40" s="85">
        <v>750.0</v>
      </c>
      <c r="G40" s="85">
        <v>750.0</v>
      </c>
      <c r="H40" s="86">
        <v>750.0</v>
      </c>
      <c r="I40" s="86">
        <v>750.0</v>
      </c>
      <c r="J40" s="86">
        <v>750.0</v>
      </c>
      <c r="K40" s="86">
        <v>750.0</v>
      </c>
      <c r="L40" s="86">
        <v>750.0</v>
      </c>
      <c r="M40" s="86">
        <v>750.0</v>
      </c>
      <c r="N40" s="86">
        <v>750.0</v>
      </c>
      <c r="O40" s="86">
        <v>750.0</v>
      </c>
      <c r="P40" s="86">
        <v>750.0</v>
      </c>
      <c r="Q40" s="86">
        <v>750.0</v>
      </c>
      <c r="R40" s="86">
        <v>750.0</v>
      </c>
      <c r="S40" s="2"/>
      <c r="T40" s="2"/>
      <c r="U40" s="2"/>
      <c r="V40" s="2"/>
      <c r="W40" s="2"/>
      <c r="X40" s="2"/>
      <c r="Y40" s="2"/>
      <c r="Z40" s="2"/>
    </row>
    <row r="41">
      <c r="A41" s="71">
        <v>15.0</v>
      </c>
      <c r="B41" s="72" t="s">
        <v>407</v>
      </c>
      <c r="C41" s="73">
        <v>1.0</v>
      </c>
      <c r="D41" s="2" t="s">
        <v>415</v>
      </c>
      <c r="E41" s="84" t="s">
        <v>404</v>
      </c>
      <c r="F41" s="85">
        <v>725.0</v>
      </c>
      <c r="G41" s="85">
        <v>725.0</v>
      </c>
      <c r="H41" s="86">
        <v>725.0</v>
      </c>
      <c r="I41" s="86">
        <v>725.0</v>
      </c>
      <c r="J41" s="86">
        <v>725.0</v>
      </c>
      <c r="K41" s="86">
        <v>725.0</v>
      </c>
      <c r="L41" s="86">
        <v>725.0</v>
      </c>
      <c r="M41" s="86">
        <v>725.0</v>
      </c>
      <c r="N41" s="86">
        <v>725.0</v>
      </c>
      <c r="O41" s="86">
        <v>725.0</v>
      </c>
      <c r="P41" s="86">
        <v>725.0</v>
      </c>
      <c r="Q41" s="86">
        <v>725.0</v>
      </c>
      <c r="R41" s="86">
        <v>725.0</v>
      </c>
      <c r="S41" s="2"/>
      <c r="T41" s="2"/>
      <c r="U41" s="2"/>
      <c r="V41" s="2"/>
      <c r="W41" s="2"/>
      <c r="X41" s="2"/>
      <c r="Y41" s="2"/>
      <c r="Z41" s="2"/>
    </row>
    <row r="42">
      <c r="A42" s="71">
        <v>50.0</v>
      </c>
      <c r="B42" s="72" t="s">
        <v>407</v>
      </c>
      <c r="C42" s="73">
        <v>1.0</v>
      </c>
      <c r="D42" s="2" t="s">
        <v>416</v>
      </c>
      <c r="E42" s="84" t="s">
        <v>404</v>
      </c>
      <c r="F42" s="87">
        <v>650.0</v>
      </c>
      <c r="G42" s="85">
        <v>650.0</v>
      </c>
      <c r="H42" s="88">
        <v>650.0</v>
      </c>
      <c r="I42" s="88">
        <v>650.0</v>
      </c>
      <c r="J42" s="88">
        <v>650.0</v>
      </c>
      <c r="K42" s="88">
        <v>650.0</v>
      </c>
      <c r="L42" s="88">
        <v>650.0</v>
      </c>
      <c r="M42" s="88">
        <v>650.0</v>
      </c>
      <c r="N42" s="88">
        <v>650.0</v>
      </c>
      <c r="O42" s="88">
        <v>650.0</v>
      </c>
      <c r="P42" s="88">
        <v>650.0</v>
      </c>
      <c r="Q42" s="88">
        <v>650.0</v>
      </c>
      <c r="R42" s="88">
        <v>650.0</v>
      </c>
      <c r="S42" s="2"/>
      <c r="T42" s="2"/>
      <c r="U42" s="2"/>
      <c r="V42" s="2"/>
      <c r="W42" s="2"/>
      <c r="X42" s="2"/>
      <c r="Y42" s="2"/>
      <c r="Z42" s="2"/>
    </row>
    <row r="43">
      <c r="A43" s="71">
        <v>51.0</v>
      </c>
      <c r="B43" s="72" t="s">
        <v>407</v>
      </c>
      <c r="C43" s="73">
        <v>1.0</v>
      </c>
      <c r="D43" s="2" t="s">
        <v>417</v>
      </c>
      <c r="E43" s="84" t="s">
        <v>404</v>
      </c>
      <c r="F43" s="87">
        <v>650.0</v>
      </c>
      <c r="G43" s="85">
        <v>650.0</v>
      </c>
      <c r="H43" s="88">
        <v>650.0</v>
      </c>
      <c r="I43" s="88">
        <v>650.0</v>
      </c>
      <c r="J43" s="88">
        <v>650.0</v>
      </c>
      <c r="K43" s="88">
        <v>650.0</v>
      </c>
      <c r="L43" s="88">
        <v>650.0</v>
      </c>
      <c r="M43" s="88">
        <v>650.0</v>
      </c>
      <c r="N43" s="88">
        <v>650.0</v>
      </c>
      <c r="O43" s="88">
        <v>650.0</v>
      </c>
      <c r="P43" s="88">
        <v>650.0</v>
      </c>
      <c r="Q43" s="88">
        <v>650.0</v>
      </c>
      <c r="R43" s="88">
        <v>650.0</v>
      </c>
      <c r="S43" s="2"/>
      <c r="T43" s="2"/>
      <c r="U43" s="2"/>
      <c r="V43" s="2"/>
      <c r="W43" s="2"/>
      <c r="X43" s="2"/>
      <c r="Y43" s="2"/>
      <c r="Z43" s="2"/>
    </row>
    <row r="44">
      <c r="A44" s="64">
        <v>16.0</v>
      </c>
      <c r="B44" s="72" t="s">
        <v>407</v>
      </c>
      <c r="C44" s="73">
        <v>1.0</v>
      </c>
      <c r="D44" s="2" t="s">
        <v>418</v>
      </c>
      <c r="E44" s="84" t="s">
        <v>404</v>
      </c>
      <c r="F44" s="90">
        <v>625.0</v>
      </c>
      <c r="G44" s="55">
        <v>625.0</v>
      </c>
      <c r="H44" s="88">
        <v>625.0</v>
      </c>
      <c r="I44" s="88">
        <v>625.0</v>
      </c>
      <c r="J44" s="88">
        <v>625.0</v>
      </c>
      <c r="K44" s="88">
        <v>625.0</v>
      </c>
      <c r="L44" s="88">
        <v>625.0</v>
      </c>
      <c r="M44" s="88">
        <v>625.0</v>
      </c>
      <c r="N44" s="88">
        <v>625.0</v>
      </c>
      <c r="O44" s="88">
        <v>625.0</v>
      </c>
      <c r="P44" s="88">
        <v>625.0</v>
      </c>
      <c r="Q44" s="88">
        <v>625.0</v>
      </c>
      <c r="R44" s="88">
        <v>625.0</v>
      </c>
      <c r="S44" s="2"/>
      <c r="T44" s="2"/>
      <c r="U44" s="2"/>
      <c r="V44" s="2"/>
      <c r="W44" s="2"/>
      <c r="X44" s="2"/>
      <c r="Y44" s="2"/>
      <c r="Z44" s="2"/>
    </row>
    <row r="45">
      <c r="A45" s="64">
        <v>52.0</v>
      </c>
      <c r="B45" s="72" t="s">
        <v>407</v>
      </c>
      <c r="C45" s="73">
        <v>1.0</v>
      </c>
      <c r="D45" s="2" t="s">
        <v>419</v>
      </c>
      <c r="E45" s="84" t="s">
        <v>404</v>
      </c>
      <c r="F45" s="87">
        <v>650.0</v>
      </c>
      <c r="G45" s="85">
        <v>650.0</v>
      </c>
      <c r="H45" s="88">
        <v>650.0</v>
      </c>
      <c r="I45" s="88">
        <v>650.0</v>
      </c>
      <c r="J45" s="88">
        <v>650.0</v>
      </c>
      <c r="K45" s="88">
        <v>650.0</v>
      </c>
      <c r="L45" s="88">
        <v>650.0</v>
      </c>
      <c r="M45" s="88">
        <v>650.0</v>
      </c>
      <c r="N45" s="88">
        <v>650.0</v>
      </c>
      <c r="O45" s="88">
        <v>650.0</v>
      </c>
      <c r="P45" s="88">
        <v>650.0</v>
      </c>
      <c r="Q45" s="88">
        <v>650.0</v>
      </c>
      <c r="R45" s="88">
        <v>650.0</v>
      </c>
      <c r="S45" s="2"/>
      <c r="T45" s="2"/>
      <c r="U45" s="2"/>
      <c r="V45" s="2"/>
      <c r="W45" s="2"/>
      <c r="X45" s="2"/>
      <c r="Y45" s="2"/>
      <c r="Z45" s="2"/>
    </row>
    <row r="46">
      <c r="A46" s="71">
        <v>17.0</v>
      </c>
      <c r="B46" s="72" t="s">
        <v>407</v>
      </c>
      <c r="C46" s="73">
        <v>1.0</v>
      </c>
      <c r="D46" s="2" t="s">
        <v>420</v>
      </c>
      <c r="E46" s="84" t="s">
        <v>404</v>
      </c>
      <c r="F46" s="90">
        <v>660.0</v>
      </c>
      <c r="G46" s="55">
        <v>660.0</v>
      </c>
      <c r="H46" s="88">
        <v>660.0</v>
      </c>
      <c r="I46" s="88">
        <v>660.0</v>
      </c>
      <c r="J46" s="88">
        <v>660.0</v>
      </c>
      <c r="K46" s="88">
        <v>660.0</v>
      </c>
      <c r="L46" s="88">
        <v>660.0</v>
      </c>
      <c r="M46" s="88">
        <v>660.0</v>
      </c>
      <c r="N46" s="88">
        <v>660.0</v>
      </c>
      <c r="O46" s="88">
        <v>660.0</v>
      </c>
      <c r="P46" s="88">
        <v>660.0</v>
      </c>
      <c r="Q46" s="88">
        <v>660.0</v>
      </c>
      <c r="R46" s="88">
        <v>660.0</v>
      </c>
      <c r="S46" s="2"/>
      <c r="T46" s="2"/>
      <c r="U46" s="2"/>
      <c r="V46" s="2"/>
      <c r="W46" s="2"/>
      <c r="X46" s="2"/>
      <c r="Y46" s="2"/>
      <c r="Z46" s="2"/>
    </row>
    <row r="47">
      <c r="A47" s="71">
        <v>53.0</v>
      </c>
      <c r="B47" s="72" t="s">
        <v>407</v>
      </c>
      <c r="C47" s="73">
        <v>1.0</v>
      </c>
      <c r="D47" s="72" t="s">
        <v>421</v>
      </c>
      <c r="E47" s="84" t="s">
        <v>404</v>
      </c>
      <c r="F47" s="85">
        <v>587.09</v>
      </c>
      <c r="G47" s="55">
        <v>650.0</v>
      </c>
      <c r="H47" s="88">
        <v>650.0</v>
      </c>
      <c r="I47" s="88">
        <v>650.0</v>
      </c>
      <c r="J47" s="88">
        <v>650.0</v>
      </c>
      <c r="K47" s="88">
        <v>650.0</v>
      </c>
      <c r="L47" s="88">
        <v>650.0</v>
      </c>
      <c r="M47" s="88">
        <v>650.0</v>
      </c>
      <c r="N47" s="88">
        <v>650.0</v>
      </c>
      <c r="O47" s="88">
        <v>650.0</v>
      </c>
      <c r="P47" s="88">
        <v>650.0</v>
      </c>
      <c r="Q47" s="88">
        <v>650.0</v>
      </c>
      <c r="R47" s="88">
        <v>650.0</v>
      </c>
      <c r="S47" s="2"/>
      <c r="T47" s="2"/>
      <c r="U47" s="2"/>
      <c r="V47" s="2"/>
      <c r="W47" s="2"/>
      <c r="X47" s="2"/>
      <c r="Y47" s="2"/>
      <c r="Z47" s="2"/>
    </row>
    <row r="48">
      <c r="A48" s="71">
        <v>18.0</v>
      </c>
      <c r="B48" s="72" t="s">
        <v>407</v>
      </c>
      <c r="C48" s="73">
        <v>1.0</v>
      </c>
      <c r="D48" s="2" t="s">
        <v>422</v>
      </c>
      <c r="E48" s="84" t="s">
        <v>404</v>
      </c>
      <c r="F48" s="90">
        <v>645.0</v>
      </c>
      <c r="G48" s="85">
        <v>645.0</v>
      </c>
      <c r="H48" s="88">
        <v>645.0</v>
      </c>
      <c r="I48" s="88">
        <v>645.0</v>
      </c>
      <c r="J48" s="88">
        <v>645.0</v>
      </c>
      <c r="K48" s="88">
        <v>645.0</v>
      </c>
      <c r="L48" s="88">
        <v>645.0</v>
      </c>
      <c r="M48" s="88">
        <v>645.0</v>
      </c>
      <c r="N48" s="88">
        <v>645.0</v>
      </c>
      <c r="O48" s="88">
        <v>645.0</v>
      </c>
      <c r="P48" s="88">
        <v>645.0</v>
      </c>
      <c r="Q48" s="88">
        <v>645.0</v>
      </c>
      <c r="R48" s="88">
        <v>645.0</v>
      </c>
      <c r="S48" s="2"/>
      <c r="T48" s="2"/>
      <c r="U48" s="2"/>
      <c r="V48" s="2"/>
      <c r="W48" s="2"/>
      <c r="X48" s="2"/>
      <c r="Y48" s="2"/>
      <c r="Z48" s="2"/>
    </row>
    <row r="49">
      <c r="A49" s="71">
        <v>54.0</v>
      </c>
      <c r="B49" s="72" t="s">
        <v>407</v>
      </c>
      <c r="C49" s="73">
        <v>1.0</v>
      </c>
      <c r="D49" s="2" t="s">
        <v>423</v>
      </c>
      <c r="E49" s="84" t="s">
        <v>404</v>
      </c>
      <c r="F49" s="87">
        <v>645.0</v>
      </c>
      <c r="G49" s="85">
        <v>645.0</v>
      </c>
      <c r="H49" s="88">
        <v>645.0</v>
      </c>
      <c r="I49" s="88">
        <v>645.0</v>
      </c>
      <c r="J49" s="88">
        <v>645.0</v>
      </c>
      <c r="K49" s="88">
        <v>645.0</v>
      </c>
      <c r="L49" s="88">
        <v>645.0</v>
      </c>
      <c r="M49" s="88">
        <v>645.0</v>
      </c>
      <c r="N49" s="88">
        <v>645.0</v>
      </c>
      <c r="O49" s="88">
        <v>645.0</v>
      </c>
      <c r="P49" s="88">
        <v>645.0</v>
      </c>
      <c r="Q49" s="88">
        <v>645.0</v>
      </c>
      <c r="R49" s="88">
        <v>645.0</v>
      </c>
      <c r="S49" s="2"/>
      <c r="T49" s="2"/>
      <c r="U49" s="2"/>
      <c r="V49" s="2"/>
      <c r="W49" s="2"/>
      <c r="X49" s="2"/>
      <c r="Y49" s="2"/>
      <c r="Z49" s="2"/>
    </row>
    <row r="50">
      <c r="A50" s="64">
        <v>55.0</v>
      </c>
      <c r="B50" s="72" t="s">
        <v>407</v>
      </c>
      <c r="C50" s="73">
        <v>1.0</v>
      </c>
      <c r="D50" s="2" t="s">
        <v>424</v>
      </c>
      <c r="E50" s="84" t="s">
        <v>404</v>
      </c>
      <c r="F50" s="85">
        <v>675.0</v>
      </c>
      <c r="G50" s="85">
        <v>675.0</v>
      </c>
      <c r="H50" s="86">
        <v>675.0</v>
      </c>
      <c r="I50" s="86">
        <v>675.0</v>
      </c>
      <c r="J50" s="86">
        <v>675.0</v>
      </c>
      <c r="K50" s="86">
        <v>675.0</v>
      </c>
      <c r="L50" s="86">
        <v>675.0</v>
      </c>
      <c r="M50" s="86">
        <v>675.0</v>
      </c>
      <c r="N50" s="86">
        <v>675.0</v>
      </c>
      <c r="O50" s="86">
        <v>675.0</v>
      </c>
      <c r="P50" s="86">
        <v>675.0</v>
      </c>
      <c r="Q50" s="86">
        <v>675.0</v>
      </c>
      <c r="R50" s="86">
        <v>675.0</v>
      </c>
      <c r="S50" s="2"/>
      <c r="T50" s="2"/>
      <c r="U50" s="2"/>
      <c r="V50" s="2"/>
      <c r="W50" s="2"/>
      <c r="X50" s="2"/>
      <c r="Y50" s="2"/>
      <c r="Z50" s="2"/>
    </row>
    <row r="51">
      <c r="A51" s="64">
        <v>19.0</v>
      </c>
      <c r="B51" s="72" t="s">
        <v>407</v>
      </c>
      <c r="C51" s="73">
        <v>1.0</v>
      </c>
      <c r="D51" s="2" t="s">
        <v>425</v>
      </c>
      <c r="E51" s="84" t="s">
        <v>404</v>
      </c>
      <c r="F51" s="90">
        <v>645.0</v>
      </c>
      <c r="G51" s="55">
        <v>645.0</v>
      </c>
      <c r="H51" s="88">
        <v>645.0</v>
      </c>
      <c r="I51" s="88">
        <v>645.0</v>
      </c>
      <c r="J51" s="88">
        <v>645.0</v>
      </c>
      <c r="K51" s="88">
        <v>645.0</v>
      </c>
      <c r="L51" s="88">
        <v>645.0</v>
      </c>
      <c r="M51" s="88">
        <v>645.0</v>
      </c>
      <c r="N51" s="88">
        <v>645.0</v>
      </c>
      <c r="O51" s="88">
        <v>645.0</v>
      </c>
      <c r="P51" s="88">
        <v>645.0</v>
      </c>
      <c r="Q51" s="88">
        <v>645.0</v>
      </c>
      <c r="R51" s="88">
        <v>645.0</v>
      </c>
      <c r="S51" s="2"/>
      <c r="T51" s="2"/>
      <c r="U51" s="2"/>
      <c r="V51" s="2"/>
      <c r="W51" s="2"/>
      <c r="X51" s="2"/>
      <c r="Y51" s="2"/>
      <c r="Z51" s="2"/>
    </row>
    <row r="52">
      <c r="A52" s="71">
        <v>56.0</v>
      </c>
      <c r="B52" s="72" t="s">
        <v>407</v>
      </c>
      <c r="C52" s="73">
        <v>1.0</v>
      </c>
      <c r="D52" s="2" t="s">
        <v>426</v>
      </c>
      <c r="E52" s="84" t="s">
        <v>404</v>
      </c>
      <c r="F52" s="87">
        <v>625.0</v>
      </c>
      <c r="G52" s="85">
        <v>625.0</v>
      </c>
      <c r="H52" s="88">
        <v>625.0</v>
      </c>
      <c r="I52" s="88">
        <v>625.0</v>
      </c>
      <c r="J52" s="88">
        <v>625.0</v>
      </c>
      <c r="K52" s="88">
        <v>625.0</v>
      </c>
      <c r="L52" s="88">
        <v>625.0</v>
      </c>
      <c r="M52" s="88">
        <v>625.0</v>
      </c>
      <c r="N52" s="88">
        <v>625.0</v>
      </c>
      <c r="O52" s="88">
        <v>625.0</v>
      </c>
      <c r="P52" s="88">
        <v>625.0</v>
      </c>
      <c r="Q52" s="88">
        <v>625.0</v>
      </c>
      <c r="R52" s="88">
        <v>625.0</v>
      </c>
      <c r="S52" s="2"/>
      <c r="T52" s="2"/>
      <c r="U52" s="2"/>
      <c r="V52" s="2"/>
      <c r="W52" s="2"/>
      <c r="X52" s="2"/>
      <c r="Y52" s="2"/>
      <c r="Z52" s="2"/>
    </row>
    <row r="53">
      <c r="A53" s="71">
        <v>57.0</v>
      </c>
      <c r="B53" s="72" t="s">
        <v>407</v>
      </c>
      <c r="C53" s="73">
        <v>1.0</v>
      </c>
      <c r="D53" s="2" t="s">
        <v>427</v>
      </c>
      <c r="E53" s="84" t="s">
        <v>404</v>
      </c>
      <c r="F53" s="87">
        <v>625.0</v>
      </c>
      <c r="G53" s="85">
        <v>625.0</v>
      </c>
      <c r="H53" s="88">
        <v>625.0</v>
      </c>
      <c r="I53" s="88">
        <v>625.0</v>
      </c>
      <c r="J53" s="88">
        <v>625.0</v>
      </c>
      <c r="K53" s="88">
        <v>625.0</v>
      </c>
      <c r="L53" s="88">
        <v>625.0</v>
      </c>
      <c r="M53" s="88">
        <v>625.0</v>
      </c>
      <c r="N53" s="88">
        <v>625.0</v>
      </c>
      <c r="O53" s="88">
        <v>625.0</v>
      </c>
      <c r="P53" s="88">
        <v>625.0</v>
      </c>
      <c r="Q53" s="88">
        <v>625.0</v>
      </c>
      <c r="R53" s="88">
        <v>625.0</v>
      </c>
      <c r="S53" s="2"/>
      <c r="T53" s="2"/>
      <c r="U53" s="2"/>
      <c r="V53" s="2"/>
      <c r="W53" s="2"/>
      <c r="X53" s="2"/>
      <c r="Y53" s="2"/>
      <c r="Z53" s="2"/>
    </row>
    <row r="54">
      <c r="A54" s="71">
        <v>21.0</v>
      </c>
      <c r="B54" s="72" t="s">
        <v>407</v>
      </c>
      <c r="C54" s="73">
        <v>1.0</v>
      </c>
      <c r="D54" s="2" t="s">
        <v>428</v>
      </c>
      <c r="E54" s="84" t="s">
        <v>404</v>
      </c>
      <c r="F54" s="90">
        <v>625.0</v>
      </c>
      <c r="G54" s="55">
        <v>625.0</v>
      </c>
      <c r="H54" s="88">
        <v>625.0</v>
      </c>
      <c r="I54" s="88">
        <v>625.0</v>
      </c>
      <c r="J54" s="88">
        <v>625.0</v>
      </c>
      <c r="K54" s="88">
        <v>625.0</v>
      </c>
      <c r="L54" s="88">
        <v>625.0</v>
      </c>
      <c r="M54" s="88">
        <v>625.0</v>
      </c>
      <c r="N54" s="88">
        <v>625.0</v>
      </c>
      <c r="O54" s="88">
        <v>625.0</v>
      </c>
      <c r="P54" s="88">
        <v>625.0</v>
      </c>
      <c r="Q54" s="88">
        <v>625.0</v>
      </c>
      <c r="R54" s="88">
        <v>625.0</v>
      </c>
      <c r="S54" s="2"/>
      <c r="T54" s="2"/>
      <c r="U54" s="2"/>
      <c r="V54" s="2"/>
      <c r="W54" s="2"/>
      <c r="X54" s="2"/>
      <c r="Y54" s="2"/>
      <c r="Z54" s="2"/>
    </row>
    <row r="55">
      <c r="A55" s="64">
        <v>58.0</v>
      </c>
      <c r="B55" s="72" t="s">
        <v>407</v>
      </c>
      <c r="C55" s="73">
        <v>1.0</v>
      </c>
      <c r="D55" s="2" t="s">
        <v>429</v>
      </c>
      <c r="E55" s="84" t="s">
        <v>404</v>
      </c>
      <c r="F55" s="87">
        <v>650.0</v>
      </c>
      <c r="G55" s="85">
        <v>650.0</v>
      </c>
      <c r="H55" s="88">
        <v>650.0</v>
      </c>
      <c r="I55" s="88">
        <v>650.0</v>
      </c>
      <c r="J55" s="88">
        <v>650.0</v>
      </c>
      <c r="K55" s="88">
        <v>650.0</v>
      </c>
      <c r="L55" s="88">
        <v>650.0</v>
      </c>
      <c r="M55" s="88">
        <v>650.0</v>
      </c>
      <c r="N55" s="88">
        <v>650.0</v>
      </c>
      <c r="O55" s="88">
        <v>650.0</v>
      </c>
      <c r="P55" s="88">
        <v>650.0</v>
      </c>
      <c r="Q55" s="88">
        <v>650.0</v>
      </c>
      <c r="R55" s="88">
        <v>650.0</v>
      </c>
      <c r="S55" s="2"/>
      <c r="T55" s="2"/>
      <c r="U55" s="2"/>
      <c r="V55" s="2"/>
      <c r="W55" s="2"/>
      <c r="X55" s="2"/>
      <c r="Y55" s="2"/>
      <c r="Z55" s="2"/>
    </row>
    <row r="56">
      <c r="A56" s="64">
        <v>22.0</v>
      </c>
      <c r="B56" s="72" t="s">
        <v>407</v>
      </c>
      <c r="C56" s="73">
        <v>1.0</v>
      </c>
      <c r="D56" s="2" t="s">
        <v>430</v>
      </c>
      <c r="E56" s="84" t="s">
        <v>404</v>
      </c>
      <c r="F56" s="87">
        <v>650.0</v>
      </c>
      <c r="G56" s="55">
        <v>650.0</v>
      </c>
      <c r="H56" s="88">
        <v>650.0</v>
      </c>
      <c r="I56" s="88">
        <v>650.0</v>
      </c>
      <c r="J56" s="88">
        <v>650.0</v>
      </c>
      <c r="K56" s="88">
        <v>650.0</v>
      </c>
      <c r="L56" s="88">
        <v>650.0</v>
      </c>
      <c r="M56" s="88">
        <v>650.0</v>
      </c>
      <c r="N56" s="88">
        <v>650.0</v>
      </c>
      <c r="O56" s="88">
        <v>650.0</v>
      </c>
      <c r="P56" s="88">
        <v>650.0</v>
      </c>
      <c r="Q56" s="88">
        <v>650.0</v>
      </c>
      <c r="R56" s="88">
        <v>650.0</v>
      </c>
      <c r="S56" s="2"/>
      <c r="T56" s="2"/>
      <c r="U56" s="2"/>
      <c r="V56" s="2"/>
      <c r="W56" s="2"/>
      <c r="X56" s="2"/>
      <c r="Y56" s="2"/>
      <c r="Z56" s="2"/>
    </row>
    <row r="57">
      <c r="A57" s="71">
        <v>59.0</v>
      </c>
      <c r="B57" s="72" t="s">
        <v>407</v>
      </c>
      <c r="C57" s="73">
        <v>1.0</v>
      </c>
      <c r="D57" s="2" t="s">
        <v>431</v>
      </c>
      <c r="E57" s="84" t="s">
        <v>404</v>
      </c>
      <c r="F57" s="87">
        <v>650.0</v>
      </c>
      <c r="G57" s="85">
        <v>650.0</v>
      </c>
      <c r="H57" s="88">
        <v>650.0</v>
      </c>
      <c r="I57" s="88">
        <v>650.0</v>
      </c>
      <c r="J57" s="88">
        <v>650.0</v>
      </c>
      <c r="K57" s="88">
        <v>650.0</v>
      </c>
      <c r="L57" s="88">
        <v>650.0</v>
      </c>
      <c r="M57" s="88">
        <v>650.0</v>
      </c>
      <c r="N57" s="88">
        <v>650.0</v>
      </c>
      <c r="O57" s="88">
        <v>650.0</v>
      </c>
      <c r="P57" s="88">
        <v>650.0</v>
      </c>
      <c r="Q57" s="88">
        <v>650.0</v>
      </c>
      <c r="R57" s="88">
        <v>650.0</v>
      </c>
      <c r="S57" s="2"/>
      <c r="T57" s="2"/>
      <c r="U57" s="2"/>
      <c r="V57" s="2"/>
      <c r="W57" s="2"/>
      <c r="X57" s="2"/>
      <c r="Y57" s="2"/>
      <c r="Z57" s="2"/>
    </row>
    <row r="58">
      <c r="A58" s="71">
        <v>23.0</v>
      </c>
      <c r="B58" s="72" t="s">
        <v>407</v>
      </c>
      <c r="C58" s="73">
        <v>1.0</v>
      </c>
      <c r="D58" s="2" t="s">
        <v>432</v>
      </c>
      <c r="E58" s="84" t="s">
        <v>404</v>
      </c>
      <c r="F58" s="90">
        <v>625.0</v>
      </c>
      <c r="G58" s="55">
        <v>625.0</v>
      </c>
      <c r="H58" s="88">
        <v>625.0</v>
      </c>
      <c r="I58" s="88">
        <v>625.0</v>
      </c>
      <c r="J58" s="88">
        <v>625.0</v>
      </c>
      <c r="K58" s="88">
        <v>625.0</v>
      </c>
      <c r="L58" s="88">
        <v>625.0</v>
      </c>
      <c r="M58" s="88">
        <v>625.0</v>
      </c>
      <c r="N58" s="88">
        <v>625.0</v>
      </c>
      <c r="O58" s="88">
        <v>625.0</v>
      </c>
      <c r="P58" s="88">
        <v>625.0</v>
      </c>
      <c r="Q58" s="88">
        <v>625.0</v>
      </c>
      <c r="R58" s="88">
        <v>625.0</v>
      </c>
      <c r="S58" s="2"/>
      <c r="T58" s="2"/>
      <c r="U58" s="2"/>
      <c r="V58" s="2"/>
      <c r="W58" s="2"/>
      <c r="X58" s="2"/>
      <c r="Y58" s="2"/>
      <c r="Z58" s="2"/>
    </row>
    <row r="59">
      <c r="A59" s="71">
        <v>60.0</v>
      </c>
      <c r="B59" s="72" t="s">
        <v>407</v>
      </c>
      <c r="C59" s="73">
        <v>1.0</v>
      </c>
      <c r="D59" s="2" t="s">
        <v>433</v>
      </c>
      <c r="E59" s="84" t="s">
        <v>404</v>
      </c>
      <c r="F59" s="87">
        <v>625.0</v>
      </c>
      <c r="G59" s="85">
        <v>625.0</v>
      </c>
      <c r="H59" s="88">
        <v>625.0</v>
      </c>
      <c r="I59" s="88">
        <v>625.0</v>
      </c>
      <c r="J59" s="88">
        <v>625.0</v>
      </c>
      <c r="K59" s="88">
        <v>625.0</v>
      </c>
      <c r="L59" s="88">
        <v>625.0</v>
      </c>
      <c r="M59" s="88">
        <v>625.0</v>
      </c>
      <c r="N59" s="88">
        <v>625.0</v>
      </c>
      <c r="O59" s="88">
        <v>625.0</v>
      </c>
      <c r="P59" s="88">
        <v>625.0</v>
      </c>
      <c r="Q59" s="88">
        <v>625.0</v>
      </c>
      <c r="R59" s="88">
        <v>625.0</v>
      </c>
      <c r="S59" s="2"/>
      <c r="T59" s="2"/>
      <c r="U59" s="2"/>
      <c r="V59" s="2"/>
      <c r="W59" s="2"/>
      <c r="X59" s="2"/>
      <c r="Y59" s="2"/>
      <c r="Z59" s="2"/>
    </row>
    <row r="60">
      <c r="A60" s="64">
        <v>61.0</v>
      </c>
      <c r="B60" s="72" t="s">
        <v>407</v>
      </c>
      <c r="C60" s="73">
        <v>1.0</v>
      </c>
      <c r="D60" s="72" t="s">
        <v>101</v>
      </c>
      <c r="E60" s="84" t="s">
        <v>404</v>
      </c>
      <c r="F60" s="85">
        <v>-69.75</v>
      </c>
      <c r="G60" s="85">
        <v>-69.75</v>
      </c>
      <c r="H60" s="86">
        <v>-69.75</v>
      </c>
      <c r="I60" s="86">
        <v>-69.75</v>
      </c>
      <c r="J60" s="86">
        <v>-69.75</v>
      </c>
      <c r="K60" s="86">
        <v>-69.75</v>
      </c>
      <c r="L60" s="86">
        <v>-69.75</v>
      </c>
      <c r="M60" s="86">
        <v>-69.75</v>
      </c>
      <c r="N60" s="86">
        <v>-69.75</v>
      </c>
      <c r="O60" s="86">
        <v>-69.75</v>
      </c>
      <c r="P60" s="86">
        <v>-69.75</v>
      </c>
      <c r="Q60" s="86">
        <v>-69.75</v>
      </c>
      <c r="R60" s="86">
        <v>-69.75</v>
      </c>
      <c r="S60" s="2"/>
      <c r="T60" s="2"/>
      <c r="U60" s="2"/>
      <c r="V60" s="2"/>
      <c r="W60" s="2"/>
      <c r="X60" s="2"/>
      <c r="Y60" s="2"/>
      <c r="Z60" s="2"/>
    </row>
    <row r="61">
      <c r="A61" s="71">
        <v>62.0</v>
      </c>
      <c r="B61" s="72" t="s">
        <v>407</v>
      </c>
      <c r="C61" s="73">
        <v>1.0</v>
      </c>
      <c r="D61" s="91" t="s">
        <v>102</v>
      </c>
      <c r="E61" s="84" t="s">
        <v>404</v>
      </c>
      <c r="F61" s="92"/>
      <c r="G61" s="85">
        <v>-115.59</v>
      </c>
      <c r="H61" s="86">
        <v>-90.16</v>
      </c>
      <c r="I61" s="86">
        <v>-90.16</v>
      </c>
      <c r="J61" s="86">
        <v>-90.16</v>
      </c>
      <c r="K61" s="86">
        <v>-90.16</v>
      </c>
      <c r="L61" s="86">
        <v>-90.16</v>
      </c>
      <c r="M61" s="86">
        <v>-90.16</v>
      </c>
      <c r="N61" s="86">
        <v>-90.16</v>
      </c>
      <c r="O61" s="86">
        <v>-90.16</v>
      </c>
      <c r="P61" s="86">
        <v>-90.16</v>
      </c>
      <c r="Q61" s="86">
        <v>-90.16</v>
      </c>
      <c r="R61" s="86">
        <v>-90.16</v>
      </c>
      <c r="S61" s="2"/>
      <c r="T61" s="2"/>
      <c r="U61" s="2"/>
      <c r="V61" s="2"/>
      <c r="W61" s="2"/>
      <c r="X61" s="2"/>
      <c r="Y61" s="2"/>
      <c r="Z61" s="2"/>
    </row>
    <row r="62">
      <c r="A62" s="71">
        <v>63.0</v>
      </c>
      <c r="B62" s="72" t="s">
        <v>407</v>
      </c>
      <c r="C62" s="73">
        <v>1.0</v>
      </c>
      <c r="D62" s="72" t="s">
        <v>103</v>
      </c>
      <c r="E62" s="84" t="s">
        <v>404</v>
      </c>
      <c r="F62" s="85">
        <v>-28.1</v>
      </c>
      <c r="G62" s="85">
        <v>-28.02</v>
      </c>
      <c r="H62" s="92">
        <v>-28.02</v>
      </c>
      <c r="I62" s="92">
        <v>-28.02</v>
      </c>
      <c r="J62" s="92">
        <v>-28.02</v>
      </c>
      <c r="K62" s="92">
        <v>-28.02</v>
      </c>
      <c r="L62" s="92">
        <v>-28.02</v>
      </c>
      <c r="M62" s="92">
        <v>-28.02</v>
      </c>
      <c r="N62" s="92">
        <v>-28.02</v>
      </c>
      <c r="O62" s="92">
        <v>-28.02</v>
      </c>
      <c r="P62" s="92">
        <v>-28.02</v>
      </c>
      <c r="Q62" s="92">
        <v>-28.02</v>
      </c>
      <c r="R62" s="92">
        <v>-28.02</v>
      </c>
      <c r="S62" s="2"/>
      <c r="T62" s="2"/>
      <c r="U62" s="2"/>
      <c r="V62" s="2"/>
      <c r="W62" s="2"/>
      <c r="X62" s="2"/>
      <c r="Y62" s="2"/>
      <c r="Z62" s="2"/>
    </row>
    <row r="63">
      <c r="A63" s="64">
        <v>64.0</v>
      </c>
      <c r="B63" s="72" t="s">
        <v>407</v>
      </c>
      <c r="C63" s="73">
        <v>1.0</v>
      </c>
      <c r="D63" s="72" t="s">
        <v>104</v>
      </c>
      <c r="E63" s="84" t="s">
        <v>404</v>
      </c>
      <c r="F63" s="85">
        <v>-31.03</v>
      </c>
      <c r="G63" s="85">
        <v>-31.03</v>
      </c>
      <c r="H63" s="86">
        <v>-31.03</v>
      </c>
      <c r="I63" s="86">
        <v>-31.03</v>
      </c>
      <c r="J63" s="86">
        <v>-31.03</v>
      </c>
      <c r="K63" s="86">
        <v>-31.03</v>
      </c>
      <c r="L63" s="86">
        <v>-31.03</v>
      </c>
      <c r="M63" s="86">
        <v>-31.03</v>
      </c>
      <c r="N63" s="86">
        <v>-31.03</v>
      </c>
      <c r="O63" s="86">
        <v>-31.03</v>
      </c>
      <c r="P63" s="86">
        <v>-31.03</v>
      </c>
      <c r="Q63" s="86">
        <v>-31.03</v>
      </c>
      <c r="R63" s="86">
        <v>-31.03</v>
      </c>
      <c r="S63" s="2"/>
      <c r="T63" s="2"/>
      <c r="U63" s="2"/>
      <c r="V63" s="2"/>
      <c r="W63" s="2"/>
      <c r="X63" s="2"/>
      <c r="Y63" s="2"/>
      <c r="Z63" s="2"/>
    </row>
    <row r="64">
      <c r="A64" s="71">
        <v>65.0</v>
      </c>
      <c r="B64" s="72" t="s">
        <v>407</v>
      </c>
      <c r="C64" s="73">
        <v>1.0</v>
      </c>
      <c r="D64" s="72" t="s">
        <v>105</v>
      </c>
      <c r="E64" s="84" t="s">
        <v>404</v>
      </c>
      <c r="F64" s="85">
        <v>-22.75</v>
      </c>
      <c r="G64" s="85">
        <v>-22.75</v>
      </c>
      <c r="H64" s="86">
        <v>-22.75</v>
      </c>
      <c r="I64" s="86">
        <v>-22.75</v>
      </c>
      <c r="J64" s="86">
        <v>-22.75</v>
      </c>
      <c r="K64" s="86">
        <v>-22.75</v>
      </c>
      <c r="L64" s="86">
        <v>-22.75</v>
      </c>
      <c r="M64" s="86">
        <v>-22.75</v>
      </c>
      <c r="N64" s="86">
        <v>-22.75</v>
      </c>
      <c r="O64" s="86">
        <v>-22.75</v>
      </c>
      <c r="P64" s="86">
        <v>-22.75</v>
      </c>
      <c r="Q64" s="86">
        <v>-22.75</v>
      </c>
      <c r="R64" s="86">
        <v>-22.75</v>
      </c>
      <c r="S64" s="2"/>
      <c r="T64" s="2"/>
      <c r="U64" s="2"/>
      <c r="V64" s="2"/>
      <c r="W64" s="2"/>
      <c r="X64" s="2"/>
      <c r="Y64" s="2"/>
      <c r="Z64" s="2"/>
    </row>
    <row r="65">
      <c r="A65" s="71">
        <v>66.0</v>
      </c>
      <c r="B65" s="72" t="s">
        <v>407</v>
      </c>
      <c r="C65" s="73">
        <v>1.0</v>
      </c>
      <c r="D65" s="72" t="s">
        <v>110</v>
      </c>
      <c r="E65" s="84" t="s">
        <v>404</v>
      </c>
      <c r="F65" s="85">
        <v>-89.23</v>
      </c>
      <c r="G65" s="85">
        <v>-89.23</v>
      </c>
      <c r="H65" s="86">
        <v>-89.23</v>
      </c>
      <c r="I65" s="86">
        <v>-89.23</v>
      </c>
      <c r="J65" s="86">
        <v>-89.23</v>
      </c>
      <c r="K65" s="86">
        <v>-89.23</v>
      </c>
      <c r="L65" s="86">
        <v>-89.23</v>
      </c>
      <c r="M65" s="86">
        <v>-89.23</v>
      </c>
      <c r="N65" s="86">
        <v>-89.23</v>
      </c>
      <c r="O65" s="86">
        <v>-89.23</v>
      </c>
      <c r="P65" s="86">
        <v>-89.23</v>
      </c>
      <c r="Q65" s="86">
        <v>-89.23</v>
      </c>
      <c r="R65" s="86">
        <v>-89.23</v>
      </c>
      <c r="S65" s="2"/>
      <c r="T65" s="2"/>
      <c r="U65" s="2"/>
      <c r="V65" s="2"/>
      <c r="W65" s="2"/>
      <c r="X65" s="2"/>
      <c r="Y65" s="2"/>
      <c r="Z65" s="2"/>
    </row>
    <row r="66">
      <c r="A66" s="71"/>
      <c r="B66" s="72" t="s">
        <v>407</v>
      </c>
      <c r="C66" s="73">
        <v>1.0</v>
      </c>
      <c r="D66" s="72" t="s">
        <v>111</v>
      </c>
      <c r="E66" s="84" t="s">
        <v>404</v>
      </c>
      <c r="F66" s="85">
        <v>-72.59</v>
      </c>
      <c r="G66" s="85">
        <v>-123.88</v>
      </c>
      <c r="H66" s="92">
        <v>-123.88</v>
      </c>
      <c r="I66" s="92">
        <v>-123.88</v>
      </c>
      <c r="J66" s="92">
        <v>-123.88</v>
      </c>
      <c r="K66" s="92">
        <v>-123.88</v>
      </c>
      <c r="L66" s="92">
        <v>-123.88</v>
      </c>
      <c r="M66" s="92">
        <v>-123.88</v>
      </c>
      <c r="N66" s="92">
        <v>-123.88</v>
      </c>
      <c r="O66" s="92">
        <v>-123.88</v>
      </c>
      <c r="P66" s="92">
        <v>-123.88</v>
      </c>
      <c r="Q66" s="92">
        <v>-123.88</v>
      </c>
      <c r="R66" s="92">
        <v>-123.88</v>
      </c>
      <c r="S66" s="2"/>
      <c r="T66" s="2"/>
      <c r="U66" s="2"/>
      <c r="V66" s="2"/>
      <c r="W66" s="2"/>
      <c r="X66" s="2"/>
      <c r="Y66" s="2"/>
      <c r="Z66" s="2"/>
    </row>
    <row r="67">
      <c r="A67" s="64">
        <v>67.0</v>
      </c>
      <c r="B67" s="72" t="s">
        <v>407</v>
      </c>
      <c r="C67" s="73">
        <v>1.0</v>
      </c>
      <c r="D67" s="72" t="s">
        <v>112</v>
      </c>
      <c r="E67" s="84" t="s">
        <v>404</v>
      </c>
      <c r="F67" s="85">
        <v>-64.74</v>
      </c>
      <c r="G67" s="85">
        <v>-82.66</v>
      </c>
      <c r="H67" s="92">
        <v>-82.66</v>
      </c>
      <c r="I67" s="92">
        <v>-82.66</v>
      </c>
      <c r="J67" s="92">
        <v>-82.66</v>
      </c>
      <c r="K67" s="92">
        <v>-82.66</v>
      </c>
      <c r="L67" s="92">
        <v>-82.66</v>
      </c>
      <c r="M67" s="92">
        <v>-82.66</v>
      </c>
      <c r="N67" s="92">
        <v>-82.66</v>
      </c>
      <c r="O67" s="92">
        <v>-82.66</v>
      </c>
      <c r="P67" s="92">
        <v>-82.66</v>
      </c>
      <c r="Q67" s="92">
        <v>-82.66</v>
      </c>
      <c r="R67" s="92">
        <v>-82.66</v>
      </c>
      <c r="S67" s="2"/>
      <c r="T67" s="2"/>
      <c r="U67" s="2"/>
      <c r="V67" s="2"/>
      <c r="W67" s="2"/>
      <c r="X67" s="2"/>
      <c r="Y67" s="2"/>
      <c r="Z67" s="2"/>
    </row>
    <row r="68">
      <c r="A68" s="71">
        <v>68.0</v>
      </c>
      <c r="B68" s="72" t="s">
        <v>407</v>
      </c>
      <c r="C68" s="73">
        <v>1.0</v>
      </c>
      <c r="D68" s="72" t="s">
        <v>115</v>
      </c>
      <c r="E68" s="84" t="s">
        <v>404</v>
      </c>
      <c r="F68" s="85">
        <v>-15.0</v>
      </c>
      <c r="G68" s="85">
        <v>-15.0</v>
      </c>
      <c r="H68" s="86">
        <v>-15.0</v>
      </c>
      <c r="I68" s="86">
        <v>-15.0</v>
      </c>
      <c r="J68" s="86">
        <v>-15.0</v>
      </c>
      <c r="K68" s="86">
        <v>-15.0</v>
      </c>
      <c r="L68" s="86">
        <v>-15.0</v>
      </c>
      <c r="M68" s="86">
        <v>-15.0</v>
      </c>
      <c r="N68" s="86">
        <v>-15.0</v>
      </c>
      <c r="O68" s="86">
        <v>-15.0</v>
      </c>
      <c r="P68" s="86">
        <v>-15.0</v>
      </c>
      <c r="Q68" s="86">
        <v>-15.0</v>
      </c>
      <c r="R68" s="86">
        <v>-15.0</v>
      </c>
      <c r="S68" s="2"/>
      <c r="T68" s="2"/>
      <c r="U68" s="2"/>
      <c r="V68" s="2"/>
      <c r="W68" s="2"/>
      <c r="X68" s="2"/>
      <c r="Y68" s="2"/>
      <c r="Z68" s="2"/>
    </row>
    <row r="69">
      <c r="A69" s="71">
        <v>69.0</v>
      </c>
      <c r="B69" s="72" t="s">
        <v>407</v>
      </c>
      <c r="C69" s="73">
        <v>1.0</v>
      </c>
      <c r="D69" s="72" t="s">
        <v>116</v>
      </c>
      <c r="E69" s="84" t="s">
        <v>404</v>
      </c>
      <c r="F69" s="85">
        <v>-15.0</v>
      </c>
      <c r="G69" s="85">
        <v>-15.0</v>
      </c>
      <c r="H69" s="86">
        <v>-15.0</v>
      </c>
      <c r="I69" s="86">
        <v>-15.0</v>
      </c>
      <c r="J69" s="86">
        <v>-15.0</v>
      </c>
      <c r="K69" s="86">
        <v>-15.0</v>
      </c>
      <c r="L69" s="86">
        <v>-15.0</v>
      </c>
      <c r="M69" s="86">
        <v>-15.0</v>
      </c>
      <c r="N69" s="86">
        <v>-15.0</v>
      </c>
      <c r="O69" s="86">
        <v>-15.0</v>
      </c>
      <c r="P69" s="86">
        <v>-15.0</v>
      </c>
      <c r="Q69" s="86">
        <v>-15.0</v>
      </c>
      <c r="R69" s="86">
        <v>-15.0</v>
      </c>
      <c r="S69" s="2"/>
      <c r="T69" s="2"/>
      <c r="U69" s="2"/>
      <c r="V69" s="2"/>
      <c r="W69" s="2"/>
      <c r="X69" s="2"/>
      <c r="Y69" s="2"/>
      <c r="Z69" s="2"/>
    </row>
    <row r="70">
      <c r="A70" s="64">
        <v>70.0</v>
      </c>
      <c r="B70" s="72" t="s">
        <v>407</v>
      </c>
      <c r="C70" s="73">
        <v>1.0</v>
      </c>
      <c r="D70" s="72" t="s">
        <v>117</v>
      </c>
      <c r="E70" s="84" t="s">
        <v>404</v>
      </c>
      <c r="F70" s="85">
        <v>-15.0</v>
      </c>
      <c r="G70" s="85">
        <v>-15.0</v>
      </c>
      <c r="H70" s="86">
        <v>-15.0</v>
      </c>
      <c r="I70" s="86">
        <v>-15.0</v>
      </c>
      <c r="J70" s="86">
        <v>-15.0</v>
      </c>
      <c r="K70" s="86">
        <v>-15.0</v>
      </c>
      <c r="L70" s="86">
        <v>-15.0</v>
      </c>
      <c r="M70" s="86">
        <v>-15.0</v>
      </c>
      <c r="N70" s="86">
        <v>-15.0</v>
      </c>
      <c r="O70" s="86">
        <v>-15.0</v>
      </c>
      <c r="P70" s="86">
        <v>-15.0</v>
      </c>
      <c r="Q70" s="86">
        <v>-15.0</v>
      </c>
      <c r="R70" s="86">
        <v>-15.0</v>
      </c>
      <c r="S70" s="2"/>
      <c r="T70" s="2"/>
      <c r="U70" s="2"/>
      <c r="V70" s="2"/>
      <c r="W70" s="2"/>
      <c r="X70" s="2"/>
      <c r="Y70" s="2"/>
      <c r="Z70" s="2"/>
    </row>
    <row r="71">
      <c r="A71" s="71">
        <v>71.0</v>
      </c>
      <c r="B71" s="72" t="s">
        <v>407</v>
      </c>
      <c r="C71" s="73">
        <v>1.0</v>
      </c>
      <c r="D71" s="72" t="s">
        <v>118</v>
      </c>
      <c r="E71" s="84" t="s">
        <v>404</v>
      </c>
      <c r="F71" s="85">
        <v>-15.0</v>
      </c>
      <c r="G71" s="85">
        <v>-15.0</v>
      </c>
      <c r="H71" s="86">
        <v>-15.0</v>
      </c>
      <c r="I71" s="86">
        <v>-15.0</v>
      </c>
      <c r="J71" s="86">
        <v>-15.0</v>
      </c>
      <c r="K71" s="86">
        <v>-15.0</v>
      </c>
      <c r="L71" s="86">
        <v>-15.0</v>
      </c>
      <c r="M71" s="86">
        <v>-15.0</v>
      </c>
      <c r="N71" s="86">
        <v>-15.0</v>
      </c>
      <c r="O71" s="86">
        <v>-15.0</v>
      </c>
      <c r="P71" s="86">
        <v>-15.0</v>
      </c>
      <c r="Q71" s="86">
        <v>-15.0</v>
      </c>
      <c r="R71" s="86">
        <v>-15.0</v>
      </c>
      <c r="S71" s="2"/>
      <c r="T71" s="2"/>
      <c r="U71" s="2"/>
      <c r="V71" s="2"/>
      <c r="W71" s="2"/>
      <c r="X71" s="2"/>
      <c r="Y71" s="2"/>
      <c r="Z71" s="2"/>
    </row>
    <row r="72">
      <c r="A72" s="71">
        <v>72.0</v>
      </c>
      <c r="B72" s="72" t="s">
        <v>407</v>
      </c>
      <c r="C72" s="73">
        <v>1.0</v>
      </c>
      <c r="D72" s="72" t="s">
        <v>119</v>
      </c>
      <c r="E72" s="84" t="s">
        <v>404</v>
      </c>
      <c r="F72" s="85">
        <v>-15.0</v>
      </c>
      <c r="G72" s="85">
        <v>-15.0</v>
      </c>
      <c r="H72" s="86">
        <v>-15.0</v>
      </c>
      <c r="I72" s="86">
        <v>-15.0</v>
      </c>
      <c r="J72" s="86">
        <v>-15.0</v>
      </c>
      <c r="K72" s="86">
        <v>-15.0</v>
      </c>
      <c r="L72" s="86">
        <v>-15.0</v>
      </c>
      <c r="M72" s="86">
        <v>-15.0</v>
      </c>
      <c r="N72" s="86">
        <v>-15.0</v>
      </c>
      <c r="O72" s="86">
        <v>-15.0</v>
      </c>
      <c r="P72" s="86">
        <v>-15.0</v>
      </c>
      <c r="Q72" s="86">
        <v>-15.0</v>
      </c>
      <c r="R72" s="86">
        <v>-15.0</v>
      </c>
      <c r="S72" s="2"/>
      <c r="T72" s="2"/>
      <c r="U72" s="2"/>
      <c r="V72" s="2"/>
      <c r="W72" s="2"/>
      <c r="X72" s="2"/>
      <c r="Y72" s="2"/>
      <c r="Z72" s="2"/>
    </row>
    <row r="73">
      <c r="A73" s="71"/>
      <c r="B73" s="72" t="s">
        <v>407</v>
      </c>
      <c r="C73" s="73">
        <v>1.0</v>
      </c>
      <c r="D73" s="93" t="s">
        <v>121</v>
      </c>
      <c r="E73" s="84" t="s">
        <v>404</v>
      </c>
      <c r="F73" s="92"/>
      <c r="G73" s="85">
        <v>-33.9</v>
      </c>
      <c r="H73" s="86">
        <v>33.9</v>
      </c>
      <c r="I73" s="86">
        <v>33.9</v>
      </c>
      <c r="J73" s="86">
        <v>33.9</v>
      </c>
      <c r="K73" s="86">
        <v>33.9</v>
      </c>
      <c r="L73" s="86">
        <v>14.18</v>
      </c>
      <c r="M73" s="86">
        <v>14.12</v>
      </c>
      <c r="N73" s="86">
        <v>14.12</v>
      </c>
      <c r="O73" s="86">
        <v>14.12</v>
      </c>
      <c r="P73" s="86">
        <v>14.12</v>
      </c>
      <c r="Q73" s="86">
        <v>14.12</v>
      </c>
      <c r="R73" s="86">
        <v>14.12</v>
      </c>
      <c r="S73" s="2"/>
      <c r="T73" s="2"/>
      <c r="U73" s="2"/>
      <c r="V73" s="2"/>
      <c r="W73" s="2"/>
      <c r="X73" s="2"/>
      <c r="Y73" s="2"/>
      <c r="Z73" s="2"/>
    </row>
    <row r="74">
      <c r="A74" s="64">
        <v>73.0</v>
      </c>
      <c r="B74" s="72" t="s">
        <v>407</v>
      </c>
      <c r="C74" s="73">
        <v>1.0</v>
      </c>
      <c r="D74" s="72" t="s">
        <v>123</v>
      </c>
      <c r="E74" s="84" t="s">
        <v>404</v>
      </c>
      <c r="F74" s="85">
        <v>-15.0</v>
      </c>
      <c r="G74" s="85">
        <v>-15.0</v>
      </c>
      <c r="H74" s="86">
        <v>-15.0</v>
      </c>
      <c r="I74" s="86">
        <v>-15.0</v>
      </c>
      <c r="J74" s="86">
        <v>-15.0</v>
      </c>
      <c r="K74" s="86">
        <v>-15.0</v>
      </c>
      <c r="L74" s="86">
        <v>-15.0</v>
      </c>
      <c r="M74" s="86">
        <v>-15.0</v>
      </c>
      <c r="N74" s="86">
        <v>-15.0</v>
      </c>
      <c r="O74" s="86">
        <v>-15.0</v>
      </c>
      <c r="P74" s="86">
        <v>-15.0</v>
      </c>
      <c r="Q74" s="86">
        <v>-15.0</v>
      </c>
      <c r="R74" s="86">
        <v>-15.0</v>
      </c>
      <c r="S74" s="2"/>
      <c r="T74" s="2"/>
      <c r="U74" s="2"/>
      <c r="V74" s="2"/>
      <c r="W74" s="2"/>
      <c r="X74" s="2"/>
      <c r="Y74" s="2"/>
      <c r="Z74" s="2"/>
    </row>
    <row r="75">
      <c r="A75" s="71">
        <v>74.0</v>
      </c>
      <c r="B75" s="72" t="s">
        <v>407</v>
      </c>
      <c r="C75" s="73">
        <v>1.0</v>
      </c>
      <c r="D75" s="72" t="s">
        <v>124</v>
      </c>
      <c r="E75" s="84" t="s">
        <v>404</v>
      </c>
      <c r="F75" s="85">
        <v>-15.0</v>
      </c>
      <c r="G75" s="85">
        <v>-15.0</v>
      </c>
      <c r="H75" s="86">
        <v>-15.0</v>
      </c>
      <c r="I75" s="86">
        <v>-15.0</v>
      </c>
      <c r="J75" s="86">
        <v>-15.0</v>
      </c>
      <c r="K75" s="86">
        <v>-15.0</v>
      </c>
      <c r="L75" s="86">
        <v>-15.0</v>
      </c>
      <c r="M75" s="86">
        <v>-15.0</v>
      </c>
      <c r="N75" s="86">
        <v>-15.0</v>
      </c>
      <c r="O75" s="86">
        <v>-15.0</v>
      </c>
      <c r="P75" s="86">
        <v>-15.0</v>
      </c>
      <c r="Q75" s="86">
        <v>-15.0</v>
      </c>
      <c r="R75" s="86">
        <v>-15.0</v>
      </c>
      <c r="S75" s="2"/>
      <c r="T75" s="2"/>
      <c r="U75" s="2"/>
      <c r="V75" s="2"/>
      <c r="W75" s="2"/>
      <c r="X75" s="2"/>
      <c r="Y75" s="2"/>
      <c r="Z75" s="2"/>
    </row>
    <row r="76">
      <c r="A76" s="71">
        <v>75.0</v>
      </c>
      <c r="B76" s="72" t="s">
        <v>407</v>
      </c>
      <c r="C76" s="73">
        <v>1.0</v>
      </c>
      <c r="D76" s="72" t="s">
        <v>125</v>
      </c>
      <c r="E76" s="84" t="s">
        <v>404</v>
      </c>
      <c r="F76" s="85">
        <v>-15.0</v>
      </c>
      <c r="G76" s="85">
        <v>-15.0</v>
      </c>
      <c r="H76" s="86">
        <v>-15.0</v>
      </c>
      <c r="I76" s="86">
        <v>-15.0</v>
      </c>
      <c r="J76" s="86">
        <v>-15.0</v>
      </c>
      <c r="K76" s="86">
        <v>-15.0</v>
      </c>
      <c r="L76" s="86">
        <v>-15.0</v>
      </c>
      <c r="M76" s="86">
        <v>-15.0</v>
      </c>
      <c r="N76" s="86">
        <v>-15.0</v>
      </c>
      <c r="O76" s="86">
        <v>-15.0</v>
      </c>
      <c r="P76" s="86">
        <v>-15.0</v>
      </c>
      <c r="Q76" s="86">
        <v>-15.0</v>
      </c>
      <c r="R76" s="86">
        <v>-15.0</v>
      </c>
      <c r="S76" s="2"/>
      <c r="T76" s="2"/>
      <c r="U76" s="2"/>
      <c r="V76" s="2"/>
      <c r="W76" s="2"/>
      <c r="X76" s="2"/>
      <c r="Y76" s="2"/>
      <c r="Z76" s="2"/>
    </row>
    <row r="77">
      <c r="A77" s="64">
        <v>76.0</v>
      </c>
      <c r="B77" s="72" t="s">
        <v>407</v>
      </c>
      <c r="C77" s="73">
        <v>1.0</v>
      </c>
      <c r="D77" s="72" t="s">
        <v>434</v>
      </c>
      <c r="E77" s="84" t="s">
        <v>404</v>
      </c>
      <c r="F77" s="85">
        <v>-6.95</v>
      </c>
      <c r="G77" s="85">
        <v>-6.95</v>
      </c>
      <c r="H77" s="86">
        <v>-6.95</v>
      </c>
      <c r="I77" s="86">
        <v>-6.95</v>
      </c>
      <c r="J77" s="86">
        <v>-6.95</v>
      </c>
      <c r="K77" s="86">
        <v>-6.95</v>
      </c>
      <c r="L77" s="86">
        <v>-6.95</v>
      </c>
      <c r="M77" s="86">
        <v>-6.95</v>
      </c>
      <c r="N77" s="86">
        <v>-6.95</v>
      </c>
      <c r="O77" s="86">
        <v>-6.95</v>
      </c>
      <c r="P77" s="86">
        <v>-6.95</v>
      </c>
      <c r="Q77" s="86">
        <v>-6.95</v>
      </c>
      <c r="R77" s="86">
        <v>-6.95</v>
      </c>
      <c r="S77" s="2"/>
      <c r="T77" s="2"/>
      <c r="U77" s="2"/>
      <c r="V77" s="2"/>
      <c r="W77" s="2"/>
      <c r="X77" s="2"/>
      <c r="Y77" s="2"/>
      <c r="Z77" s="2"/>
    </row>
    <row r="78">
      <c r="A78" s="71">
        <v>77.0</v>
      </c>
      <c r="B78" s="72" t="s">
        <v>407</v>
      </c>
      <c r="C78" s="73">
        <v>2.0</v>
      </c>
      <c r="D78" s="94" t="s">
        <v>127</v>
      </c>
      <c r="E78" s="84" t="s">
        <v>404</v>
      </c>
      <c r="F78" s="85">
        <v>-145.0</v>
      </c>
      <c r="G78" s="85">
        <v>-149.96</v>
      </c>
      <c r="H78" s="86">
        <v>-153.0</v>
      </c>
      <c r="I78" s="86">
        <v>-153.0</v>
      </c>
      <c r="J78" s="86">
        <v>-153.0</v>
      </c>
      <c r="K78" s="86">
        <v>-153.0</v>
      </c>
      <c r="L78" s="86">
        <v>-153.0</v>
      </c>
      <c r="M78" s="86">
        <v>-153.0</v>
      </c>
      <c r="N78" s="86">
        <v>-153.0</v>
      </c>
      <c r="O78" s="86">
        <v>-153.0</v>
      </c>
      <c r="P78" s="86">
        <v>-153.0</v>
      </c>
      <c r="Q78" s="86">
        <v>-153.0</v>
      </c>
      <c r="R78" s="86">
        <v>-153.0</v>
      </c>
      <c r="S78" s="2"/>
      <c r="T78" s="2"/>
      <c r="U78" s="2"/>
      <c r="V78" s="2"/>
      <c r="W78" s="2"/>
      <c r="X78" s="2"/>
      <c r="Y78" s="2"/>
      <c r="Z78" s="2"/>
    </row>
    <row r="79">
      <c r="A79" s="71">
        <v>78.0</v>
      </c>
      <c r="B79" s="72" t="s">
        <v>407</v>
      </c>
      <c r="C79" s="73">
        <v>2.0</v>
      </c>
      <c r="D79" s="94" t="s">
        <v>128</v>
      </c>
      <c r="E79" s="84" t="s">
        <v>404</v>
      </c>
      <c r="F79" s="85">
        <v>-168.0</v>
      </c>
      <c r="G79" s="85">
        <v>-172.58</v>
      </c>
      <c r="H79" s="86">
        <v>-177.0</v>
      </c>
      <c r="I79" s="86">
        <v>-177.0</v>
      </c>
      <c r="J79" s="86">
        <v>-177.0</v>
      </c>
      <c r="K79" s="86">
        <v>-177.0</v>
      </c>
      <c r="L79" s="86">
        <v>-177.0</v>
      </c>
      <c r="M79" s="86">
        <v>-177.0</v>
      </c>
      <c r="N79" s="86">
        <v>-177.0</v>
      </c>
      <c r="O79" s="86">
        <v>-177.0</v>
      </c>
      <c r="P79" s="86">
        <v>-177.0</v>
      </c>
      <c r="Q79" s="86">
        <v>-177.0</v>
      </c>
      <c r="R79" s="86">
        <v>-177.0</v>
      </c>
      <c r="S79" s="2"/>
      <c r="T79" s="2"/>
      <c r="U79" s="2"/>
      <c r="V79" s="2"/>
      <c r="W79" s="2"/>
      <c r="X79" s="2"/>
      <c r="Y79" s="2"/>
      <c r="Z79" s="2"/>
    </row>
    <row r="80">
      <c r="A80" s="64">
        <v>79.0</v>
      </c>
      <c r="B80" s="72" t="s">
        <v>407</v>
      </c>
      <c r="C80" s="73">
        <v>2.0</v>
      </c>
      <c r="D80" s="94" t="s">
        <v>129</v>
      </c>
      <c r="E80" s="84" t="s">
        <v>404</v>
      </c>
      <c r="F80" s="85">
        <v>-374.0</v>
      </c>
      <c r="G80" s="85">
        <v>-390.32</v>
      </c>
      <c r="H80" s="86">
        <v>-393.0</v>
      </c>
      <c r="I80" s="86">
        <v>-393.0</v>
      </c>
      <c r="J80" s="86">
        <v>-393.0</v>
      </c>
      <c r="K80" s="86">
        <v>-393.0</v>
      </c>
      <c r="L80" s="86">
        <v>-393.0</v>
      </c>
      <c r="M80" s="86">
        <v>-393.0</v>
      </c>
      <c r="N80" s="86">
        <v>-393.0</v>
      </c>
      <c r="O80" s="86">
        <v>-393.0</v>
      </c>
      <c r="P80" s="86">
        <v>-393.0</v>
      </c>
      <c r="Q80" s="86">
        <v>-393.0</v>
      </c>
      <c r="R80" s="86">
        <v>-393.0</v>
      </c>
      <c r="S80" s="2"/>
      <c r="T80" s="2"/>
      <c r="U80" s="2"/>
      <c r="V80" s="2"/>
      <c r="W80" s="2"/>
      <c r="X80" s="2"/>
      <c r="Y80" s="2"/>
      <c r="Z80" s="2"/>
    </row>
    <row r="81">
      <c r="A81" s="71">
        <v>80.0</v>
      </c>
      <c r="B81" s="72" t="s">
        <v>407</v>
      </c>
      <c r="C81" s="73">
        <v>2.0</v>
      </c>
      <c r="D81" s="94" t="s">
        <v>130</v>
      </c>
      <c r="E81" s="84" t="s">
        <v>404</v>
      </c>
      <c r="F81" s="85">
        <v>-166.0</v>
      </c>
      <c r="G81" s="85">
        <v>-169.81</v>
      </c>
      <c r="H81" s="86">
        <v>-175.0</v>
      </c>
      <c r="I81" s="86">
        <v>-175.0</v>
      </c>
      <c r="J81" s="86">
        <v>-175.0</v>
      </c>
      <c r="K81" s="86">
        <v>-175.0</v>
      </c>
      <c r="L81" s="86">
        <v>-175.0</v>
      </c>
      <c r="M81" s="86">
        <v>-175.0</v>
      </c>
      <c r="N81" s="86">
        <v>-175.0</v>
      </c>
      <c r="O81" s="86">
        <v>-175.0</v>
      </c>
      <c r="P81" s="86">
        <v>-175.0</v>
      </c>
      <c r="Q81" s="86">
        <v>-175.0</v>
      </c>
      <c r="R81" s="86">
        <v>-175.0</v>
      </c>
      <c r="S81" s="2"/>
      <c r="T81" s="2"/>
      <c r="U81" s="2"/>
      <c r="V81" s="2"/>
      <c r="W81" s="2"/>
      <c r="X81" s="2"/>
      <c r="Y81" s="2"/>
      <c r="Z81" s="2"/>
    </row>
    <row r="82">
      <c r="A82" s="71">
        <v>81.0</v>
      </c>
      <c r="B82" s="72" t="s">
        <v>407</v>
      </c>
      <c r="C82" s="73">
        <v>2.0</v>
      </c>
      <c r="D82" s="94" t="s">
        <v>131</v>
      </c>
      <c r="E82" s="84" t="s">
        <v>404</v>
      </c>
      <c r="F82" s="85">
        <v>-187.0</v>
      </c>
      <c r="G82" s="85">
        <v>-200.66</v>
      </c>
      <c r="H82" s="86">
        <v>-196.0</v>
      </c>
      <c r="I82" s="86">
        <v>-196.0</v>
      </c>
      <c r="J82" s="86">
        <v>-196.0</v>
      </c>
      <c r="K82" s="86">
        <v>-196.0</v>
      </c>
      <c r="L82" s="86">
        <v>-196.0</v>
      </c>
      <c r="M82" s="86">
        <v>-196.0</v>
      </c>
      <c r="N82" s="86">
        <v>-196.0</v>
      </c>
      <c r="O82" s="86">
        <v>-196.0</v>
      </c>
      <c r="P82" s="86">
        <v>-196.0</v>
      </c>
      <c r="Q82" s="86">
        <v>-196.0</v>
      </c>
      <c r="R82" s="86">
        <v>-196.0</v>
      </c>
      <c r="S82" s="2"/>
      <c r="T82" s="2"/>
      <c r="U82" s="2"/>
      <c r="V82" s="2"/>
      <c r="W82" s="2"/>
      <c r="X82" s="2"/>
      <c r="Y82" s="2"/>
      <c r="Z82" s="2"/>
    </row>
    <row r="83">
      <c r="A83" s="64">
        <v>82.0</v>
      </c>
      <c r="B83" s="72" t="s">
        <v>407</v>
      </c>
      <c r="C83" s="73">
        <v>2.0</v>
      </c>
      <c r="D83" s="94" t="s">
        <v>132</v>
      </c>
      <c r="E83" s="84" t="s">
        <v>404</v>
      </c>
      <c r="F83" s="85">
        <v>-166.0</v>
      </c>
      <c r="G83" s="85">
        <v>-169.81</v>
      </c>
      <c r="H83" s="86">
        <v>-175.0</v>
      </c>
      <c r="I83" s="86">
        <v>-175.0</v>
      </c>
      <c r="J83" s="86">
        <v>-175.0</v>
      </c>
      <c r="K83" s="86">
        <v>-175.0</v>
      </c>
      <c r="L83" s="86">
        <v>-175.0</v>
      </c>
      <c r="M83" s="86">
        <v>-175.0</v>
      </c>
      <c r="N83" s="86">
        <v>-175.0</v>
      </c>
      <c r="O83" s="86">
        <v>-175.0</v>
      </c>
      <c r="P83" s="86">
        <v>-175.0</v>
      </c>
      <c r="Q83" s="86">
        <v>-175.0</v>
      </c>
      <c r="R83" s="86">
        <v>-175.0</v>
      </c>
      <c r="S83" s="2"/>
      <c r="T83" s="2"/>
      <c r="U83" s="2"/>
      <c r="V83" s="2"/>
      <c r="W83" s="2"/>
      <c r="X83" s="2"/>
      <c r="Y83" s="2"/>
      <c r="Z83" s="2"/>
    </row>
    <row r="84">
      <c r="A84" s="71">
        <v>83.0</v>
      </c>
      <c r="B84" s="72" t="s">
        <v>407</v>
      </c>
      <c r="C84" s="73">
        <v>2.0</v>
      </c>
      <c r="D84" s="93" t="s">
        <v>32</v>
      </c>
      <c r="E84" s="84" t="s">
        <v>404</v>
      </c>
      <c r="F84" s="85">
        <v>-23.0</v>
      </c>
      <c r="G84" s="85">
        <v>-23.0</v>
      </c>
      <c r="H84" s="86">
        <v>-23.0</v>
      </c>
      <c r="I84" s="86">
        <v>-23.0</v>
      </c>
      <c r="J84" s="86">
        <v>-23.0</v>
      </c>
      <c r="K84" s="86">
        <v>-23.0</v>
      </c>
      <c r="L84" s="86">
        <v>-23.0</v>
      </c>
      <c r="M84" s="86">
        <v>-23.0</v>
      </c>
      <c r="N84" s="86">
        <v>-23.0</v>
      </c>
      <c r="O84" s="86">
        <v>-23.0</v>
      </c>
      <c r="P84" s="86">
        <v>-23.0</v>
      </c>
      <c r="Q84" s="86">
        <v>-23.0</v>
      </c>
      <c r="R84" s="86">
        <v>-23.0</v>
      </c>
      <c r="S84" s="2"/>
      <c r="T84" s="2"/>
      <c r="U84" s="2"/>
      <c r="V84" s="2"/>
      <c r="W84" s="2"/>
      <c r="X84" s="2"/>
      <c r="Y84" s="2"/>
      <c r="Z84" s="2"/>
    </row>
    <row r="85">
      <c r="A85" s="71">
        <v>83.0</v>
      </c>
      <c r="B85" s="72" t="s">
        <v>407</v>
      </c>
      <c r="C85" s="73">
        <v>2.0</v>
      </c>
      <c r="D85" s="93" t="s">
        <v>31</v>
      </c>
      <c r="E85" s="84" t="s">
        <v>404</v>
      </c>
      <c r="F85" s="85">
        <v>-13.81</v>
      </c>
      <c r="G85" s="85">
        <v>-13.81</v>
      </c>
      <c r="H85" s="86">
        <v>-13.81</v>
      </c>
      <c r="I85" s="86">
        <v>-13.81</v>
      </c>
      <c r="J85" s="86">
        <v>-13.81</v>
      </c>
      <c r="K85" s="86">
        <v>-13.81</v>
      </c>
      <c r="L85" s="86">
        <v>-13.81</v>
      </c>
      <c r="M85" s="86">
        <v>-13.81</v>
      </c>
      <c r="N85" s="86">
        <v>-13.81</v>
      </c>
      <c r="O85" s="86">
        <v>-13.81</v>
      </c>
      <c r="P85" s="86">
        <v>-13.81</v>
      </c>
      <c r="Q85" s="86">
        <v>-13.81</v>
      </c>
      <c r="R85" s="86">
        <v>-13.81</v>
      </c>
      <c r="S85" s="2"/>
      <c r="T85" s="2"/>
      <c r="U85" s="2"/>
      <c r="V85" s="2"/>
      <c r="W85" s="2"/>
      <c r="X85" s="2"/>
      <c r="Y85" s="2"/>
      <c r="Z85" s="2"/>
    </row>
    <row r="86">
      <c r="A86" s="71">
        <v>84.0</v>
      </c>
      <c r="B86" s="72" t="s">
        <v>407</v>
      </c>
      <c r="C86" s="73">
        <v>2.0</v>
      </c>
      <c r="D86" s="72" t="s">
        <v>435</v>
      </c>
      <c r="E86" s="84" t="s">
        <v>404</v>
      </c>
      <c r="F86" s="85">
        <v>-15.0</v>
      </c>
      <c r="G86" s="85">
        <v>-15.0</v>
      </c>
      <c r="H86" s="86">
        <v>-15.0</v>
      </c>
      <c r="I86" s="86">
        <v>-15.0</v>
      </c>
      <c r="J86" s="86">
        <v>-15.0</v>
      </c>
      <c r="K86" s="86">
        <v>-15.0</v>
      </c>
      <c r="L86" s="86">
        <v>-15.0</v>
      </c>
      <c r="M86" s="86">
        <v>-15.0</v>
      </c>
      <c r="N86" s="86">
        <v>-15.0</v>
      </c>
      <c r="O86" s="86">
        <v>-15.0</v>
      </c>
      <c r="P86" s="86">
        <v>-15.0</v>
      </c>
      <c r="Q86" s="86">
        <v>-15.0</v>
      </c>
      <c r="R86" s="86">
        <v>-15.0</v>
      </c>
      <c r="S86" s="2"/>
      <c r="T86" s="2"/>
      <c r="U86" s="2"/>
      <c r="V86" s="2"/>
      <c r="W86" s="2"/>
      <c r="X86" s="2"/>
      <c r="Y86" s="2"/>
      <c r="Z86" s="2"/>
    </row>
    <row r="87">
      <c r="A87" s="64">
        <v>85.0</v>
      </c>
      <c r="B87" s="72" t="s">
        <v>407</v>
      </c>
      <c r="C87" s="73">
        <v>2.0</v>
      </c>
      <c r="D87" s="72" t="s">
        <v>135</v>
      </c>
      <c r="E87" s="84" t="s">
        <v>404</v>
      </c>
      <c r="F87" s="85">
        <v>-24.69</v>
      </c>
      <c r="G87" s="85">
        <v>-23.96</v>
      </c>
      <c r="H87" s="92">
        <v>-23.96</v>
      </c>
      <c r="I87" s="92">
        <v>-23.96</v>
      </c>
      <c r="J87" s="92">
        <v>-23.96</v>
      </c>
      <c r="K87" s="92">
        <v>-23.96</v>
      </c>
      <c r="L87" s="92">
        <v>-23.96</v>
      </c>
      <c r="M87" s="92">
        <v>-23.96</v>
      </c>
      <c r="N87" s="92">
        <v>-23.96</v>
      </c>
      <c r="O87" s="92">
        <v>-23.96</v>
      </c>
      <c r="P87" s="92">
        <v>-23.96</v>
      </c>
      <c r="Q87" s="92">
        <v>-23.96</v>
      </c>
      <c r="R87" s="92">
        <v>-23.96</v>
      </c>
      <c r="S87" s="2"/>
      <c r="T87" s="2"/>
      <c r="U87" s="2"/>
      <c r="V87" s="2"/>
      <c r="W87" s="2"/>
      <c r="X87" s="2"/>
      <c r="Y87" s="2"/>
      <c r="Z87" s="2"/>
    </row>
    <row r="88">
      <c r="A88" s="71">
        <v>86.0</v>
      </c>
      <c r="B88" s="72" t="s">
        <v>407</v>
      </c>
      <c r="C88" s="73">
        <v>2.0</v>
      </c>
      <c r="D88" s="72" t="s">
        <v>134</v>
      </c>
      <c r="E88" s="84" t="s">
        <v>404</v>
      </c>
      <c r="F88" s="85">
        <v>-36.0</v>
      </c>
      <c r="G88" s="85">
        <v>-36.0</v>
      </c>
      <c r="H88" s="86">
        <v>-36.0</v>
      </c>
      <c r="I88" s="86">
        <v>-36.0</v>
      </c>
      <c r="J88" s="86">
        <v>-36.0</v>
      </c>
      <c r="K88" s="86">
        <v>-36.0</v>
      </c>
      <c r="L88" s="86">
        <v>-36.0</v>
      </c>
      <c r="M88" s="86">
        <v>-36.0</v>
      </c>
      <c r="N88" s="86">
        <v>-36.0</v>
      </c>
      <c r="O88" s="86">
        <v>-36.0</v>
      </c>
      <c r="P88" s="86">
        <v>-36.0</v>
      </c>
      <c r="Q88" s="86">
        <v>-36.0</v>
      </c>
      <c r="R88" s="86">
        <v>-36.0</v>
      </c>
      <c r="S88" s="2"/>
      <c r="T88" s="2"/>
      <c r="U88" s="2"/>
      <c r="V88" s="2"/>
      <c r="W88" s="2"/>
      <c r="X88" s="2"/>
      <c r="Y88" s="2"/>
      <c r="Z88" s="2"/>
    </row>
    <row r="89">
      <c r="A89" s="71">
        <v>87.0</v>
      </c>
      <c r="B89" s="72" t="s">
        <v>407</v>
      </c>
      <c r="C89" s="73">
        <v>2.0</v>
      </c>
      <c r="D89" s="72" t="s">
        <v>136</v>
      </c>
      <c r="E89" s="84" t="s">
        <v>404</v>
      </c>
      <c r="F89" s="85">
        <v>-10.79</v>
      </c>
      <c r="G89" s="85">
        <v>-10.79</v>
      </c>
      <c r="H89" s="86">
        <v>-10.79</v>
      </c>
      <c r="I89" s="86">
        <v>-10.79</v>
      </c>
      <c r="J89" s="86">
        <v>-10.79</v>
      </c>
      <c r="K89" s="86">
        <v>-10.79</v>
      </c>
      <c r="L89" s="86">
        <v>-10.79</v>
      </c>
      <c r="M89" s="86">
        <v>-10.79</v>
      </c>
      <c r="N89" s="86">
        <v>-10.79</v>
      </c>
      <c r="O89" s="86">
        <v>-10.79</v>
      </c>
      <c r="P89" s="86">
        <v>-10.79</v>
      </c>
      <c r="Q89" s="86">
        <v>-10.79</v>
      </c>
      <c r="R89" s="86">
        <v>-10.79</v>
      </c>
      <c r="S89" s="2"/>
      <c r="T89" s="2"/>
      <c r="U89" s="2"/>
      <c r="V89" s="2"/>
      <c r="W89" s="2"/>
      <c r="X89" s="2"/>
      <c r="Y89" s="2"/>
      <c r="Z89" s="2"/>
    </row>
    <row r="90">
      <c r="A90" s="71">
        <v>89.0</v>
      </c>
      <c r="B90" s="72" t="s">
        <v>407</v>
      </c>
      <c r="C90" s="73">
        <v>3.0</v>
      </c>
      <c r="D90" s="72" t="s">
        <v>14</v>
      </c>
      <c r="E90" s="84" t="s">
        <v>404</v>
      </c>
      <c r="F90" s="85">
        <v>-103.08</v>
      </c>
      <c r="G90" s="85">
        <v>-103.08</v>
      </c>
      <c r="H90" s="86">
        <v>-103.08</v>
      </c>
      <c r="I90" s="86">
        <v>-103.08</v>
      </c>
      <c r="J90" s="86">
        <v>-103.08</v>
      </c>
      <c r="K90" s="86">
        <v>-103.08</v>
      </c>
      <c r="L90" s="86">
        <v>-103.08</v>
      </c>
      <c r="M90" s="86">
        <v>-103.08</v>
      </c>
      <c r="N90" s="86">
        <v>-103.08</v>
      </c>
      <c r="O90" s="86">
        <v>-103.08</v>
      </c>
      <c r="P90" s="86">
        <v>-103.08</v>
      </c>
      <c r="Q90" s="86">
        <v>-103.08</v>
      </c>
      <c r="R90" s="86">
        <v>-103.08</v>
      </c>
      <c r="S90" s="2"/>
      <c r="T90" s="2"/>
      <c r="U90" s="2"/>
      <c r="V90" s="2"/>
      <c r="W90" s="2"/>
      <c r="X90" s="2"/>
      <c r="Y90" s="2"/>
      <c r="Z90" s="2"/>
    </row>
    <row r="91">
      <c r="A91" s="71">
        <v>90.0</v>
      </c>
      <c r="B91" s="72" t="s">
        <v>407</v>
      </c>
      <c r="C91" s="73">
        <v>3.0</v>
      </c>
      <c r="D91" s="72" t="s">
        <v>436</v>
      </c>
      <c r="E91" s="84" t="s">
        <v>404</v>
      </c>
      <c r="F91" s="85">
        <f>-21.84-4.34</f>
        <v>-26.18</v>
      </c>
      <c r="G91" s="85">
        <v>-21.84</v>
      </c>
      <c r="H91" s="86">
        <v>-21.84</v>
      </c>
      <c r="I91" s="86">
        <v>-21.84</v>
      </c>
      <c r="J91" s="86">
        <v>-21.84</v>
      </c>
      <c r="K91" s="86">
        <v>-21.84</v>
      </c>
      <c r="L91" s="86">
        <v>-21.84</v>
      </c>
      <c r="M91" s="86">
        <v>-21.84</v>
      </c>
      <c r="N91" s="86">
        <v>-21.84</v>
      </c>
      <c r="O91" s="86">
        <v>-21.84</v>
      </c>
      <c r="P91" s="86">
        <v>-21.84</v>
      </c>
      <c r="Q91" s="86">
        <v>-21.84</v>
      </c>
      <c r="R91" s="86">
        <v>-21.84</v>
      </c>
      <c r="S91" s="2"/>
      <c r="T91" s="2"/>
      <c r="U91" s="2"/>
      <c r="V91" s="2"/>
      <c r="W91" s="2"/>
      <c r="X91" s="2"/>
      <c r="Y91" s="2"/>
      <c r="Z91" s="2"/>
    </row>
    <row r="92">
      <c r="A92" s="64">
        <v>91.0</v>
      </c>
      <c r="B92" s="72" t="s">
        <v>407</v>
      </c>
      <c r="C92" s="73">
        <v>3.0</v>
      </c>
      <c r="D92" s="72" t="s">
        <v>437</v>
      </c>
      <c r="E92" s="84" t="s">
        <v>404</v>
      </c>
      <c r="F92" s="85">
        <f t="shared" ref="F92:F93" si="3">-21.84-5.09</f>
        <v>-26.93</v>
      </c>
      <c r="G92" s="85">
        <v>-21.84</v>
      </c>
      <c r="H92" s="86">
        <v>-21.84</v>
      </c>
      <c r="I92" s="86">
        <v>-21.84</v>
      </c>
      <c r="J92" s="86">
        <v>-21.84</v>
      </c>
      <c r="K92" s="86">
        <v>-21.84</v>
      </c>
      <c r="L92" s="86">
        <v>-21.84</v>
      </c>
      <c r="M92" s="86">
        <v>-21.84</v>
      </c>
      <c r="N92" s="86">
        <v>-21.84</v>
      </c>
      <c r="O92" s="86">
        <v>-21.84</v>
      </c>
      <c r="P92" s="86">
        <v>-21.84</v>
      </c>
      <c r="Q92" s="86">
        <v>-21.84</v>
      </c>
      <c r="R92" s="86">
        <v>-21.84</v>
      </c>
      <c r="S92" s="2"/>
      <c r="T92" s="2"/>
      <c r="U92" s="2"/>
      <c r="V92" s="2"/>
      <c r="W92" s="2"/>
      <c r="X92" s="2"/>
      <c r="Y92" s="2"/>
      <c r="Z92" s="2"/>
    </row>
    <row r="93">
      <c r="A93" s="71">
        <v>92.0</v>
      </c>
      <c r="B93" s="72" t="s">
        <v>407</v>
      </c>
      <c r="C93" s="73">
        <v>3.0</v>
      </c>
      <c r="D93" s="72" t="s">
        <v>438</v>
      </c>
      <c r="E93" s="84" t="s">
        <v>404</v>
      </c>
      <c r="F93" s="85">
        <f t="shared" si="3"/>
        <v>-26.93</v>
      </c>
      <c r="G93" s="85">
        <v>-21.84</v>
      </c>
      <c r="H93" s="86">
        <v>-21.84</v>
      </c>
      <c r="I93" s="86">
        <v>-21.84</v>
      </c>
      <c r="J93" s="86">
        <v>-21.84</v>
      </c>
      <c r="K93" s="86">
        <v>-21.84</v>
      </c>
      <c r="L93" s="86">
        <v>-21.84</v>
      </c>
      <c r="M93" s="86">
        <v>-21.84</v>
      </c>
      <c r="N93" s="86">
        <v>-21.84</v>
      </c>
      <c r="O93" s="86">
        <v>-21.84</v>
      </c>
      <c r="P93" s="86">
        <v>-21.84</v>
      </c>
      <c r="Q93" s="86">
        <v>-21.84</v>
      </c>
      <c r="R93" s="86">
        <v>-21.84</v>
      </c>
      <c r="S93" s="2"/>
      <c r="T93" s="2"/>
      <c r="U93" s="2"/>
      <c r="V93" s="2"/>
      <c r="W93" s="2"/>
      <c r="X93" s="2"/>
      <c r="Y93" s="2"/>
      <c r="Z93" s="2"/>
    </row>
    <row r="94">
      <c r="A94" s="71">
        <v>93.0</v>
      </c>
      <c r="B94" s="72" t="s">
        <v>407</v>
      </c>
      <c r="C94" s="73">
        <v>3.0</v>
      </c>
      <c r="D94" s="72" t="s">
        <v>439</v>
      </c>
      <c r="E94" s="84" t="s">
        <v>404</v>
      </c>
      <c r="F94" s="85">
        <v>-21.84</v>
      </c>
      <c r="G94" s="85">
        <v>-21.84</v>
      </c>
      <c r="H94" s="86">
        <v>-21.84</v>
      </c>
      <c r="I94" s="86">
        <v>-21.84</v>
      </c>
      <c r="J94" s="86">
        <v>-21.84</v>
      </c>
      <c r="K94" s="86">
        <v>-21.84</v>
      </c>
      <c r="L94" s="86">
        <v>-21.84</v>
      </c>
      <c r="M94" s="86">
        <v>-21.84</v>
      </c>
      <c r="N94" s="86">
        <v>-21.84</v>
      </c>
      <c r="O94" s="86">
        <v>-21.84</v>
      </c>
      <c r="P94" s="86">
        <v>-21.84</v>
      </c>
      <c r="Q94" s="86">
        <v>-21.84</v>
      </c>
      <c r="R94" s="86">
        <v>-21.84</v>
      </c>
      <c r="S94" s="2"/>
      <c r="T94" s="2"/>
      <c r="U94" s="2"/>
      <c r="V94" s="2"/>
      <c r="W94" s="2"/>
      <c r="X94" s="2"/>
      <c r="Y94" s="2"/>
      <c r="Z94" s="2"/>
    </row>
    <row r="95">
      <c r="A95" s="64">
        <v>94.0</v>
      </c>
      <c r="B95" s="72" t="s">
        <v>407</v>
      </c>
      <c r="C95" s="73">
        <v>3.0</v>
      </c>
      <c r="D95" s="72" t="s">
        <v>440</v>
      </c>
      <c r="E95" s="84" t="s">
        <v>404</v>
      </c>
      <c r="F95" s="85">
        <v>-12.5</v>
      </c>
      <c r="G95" s="85">
        <v>-12.5</v>
      </c>
      <c r="H95" s="86">
        <v>-12.5</v>
      </c>
      <c r="I95" s="86">
        <v>-12.5</v>
      </c>
      <c r="J95" s="86">
        <v>-12.5</v>
      </c>
      <c r="K95" s="86">
        <v>-12.5</v>
      </c>
      <c r="L95" s="86">
        <v>-12.5</v>
      </c>
      <c r="M95" s="86">
        <v>-12.5</v>
      </c>
      <c r="N95" s="86">
        <v>-12.5</v>
      </c>
      <c r="O95" s="86">
        <v>-12.5</v>
      </c>
      <c r="P95" s="86">
        <v>-12.5</v>
      </c>
      <c r="Q95" s="86">
        <v>-12.5</v>
      </c>
      <c r="R95" s="86">
        <v>-12.5</v>
      </c>
      <c r="S95" s="2"/>
      <c r="T95" s="2"/>
      <c r="U95" s="2"/>
      <c r="V95" s="2"/>
      <c r="W95" s="2"/>
      <c r="X95" s="2"/>
      <c r="Y95" s="2"/>
      <c r="Z95" s="2"/>
    </row>
    <row r="96">
      <c r="A96" s="71">
        <v>95.0</v>
      </c>
      <c r="B96" s="72" t="s">
        <v>407</v>
      </c>
      <c r="C96" s="73">
        <v>3.0</v>
      </c>
      <c r="D96" s="72" t="s">
        <v>15</v>
      </c>
      <c r="E96" s="84" t="s">
        <v>404</v>
      </c>
      <c r="F96" s="85">
        <v>-75.2</v>
      </c>
      <c r="G96" s="85">
        <v>-75.2</v>
      </c>
      <c r="H96" s="86">
        <v>-75.2</v>
      </c>
      <c r="I96" s="86">
        <v>-75.2</v>
      </c>
      <c r="J96" s="86">
        <v>-75.2</v>
      </c>
      <c r="K96" s="86">
        <v>-75.2</v>
      </c>
      <c r="L96" s="86">
        <v>-75.2</v>
      </c>
      <c r="M96" s="86">
        <v>-75.2</v>
      </c>
      <c r="N96" s="86">
        <v>-75.2</v>
      </c>
      <c r="O96" s="86">
        <v>-75.2</v>
      </c>
      <c r="P96" s="86">
        <v>-75.2</v>
      </c>
      <c r="Q96" s="86">
        <v>-75.2</v>
      </c>
      <c r="R96" s="86">
        <v>-75.2</v>
      </c>
      <c r="S96" s="2"/>
      <c r="T96" s="2"/>
      <c r="U96" s="2"/>
      <c r="V96" s="2"/>
      <c r="W96" s="2"/>
      <c r="X96" s="2"/>
      <c r="Y96" s="2"/>
      <c r="Z96" s="2"/>
    </row>
    <row r="97">
      <c r="A97" s="71">
        <v>96.0</v>
      </c>
      <c r="B97" s="72" t="s">
        <v>407</v>
      </c>
      <c r="C97" s="73">
        <v>3.0</v>
      </c>
      <c r="D97" s="91" t="s">
        <v>138</v>
      </c>
      <c r="E97" s="84" t="s">
        <v>404</v>
      </c>
      <c r="F97" s="85">
        <v>-1161.92</v>
      </c>
      <c r="G97" s="85">
        <v>-1161.92</v>
      </c>
      <c r="H97" s="86">
        <v>-1161.92</v>
      </c>
      <c r="I97" s="86">
        <v>-1161.92</v>
      </c>
      <c r="J97" s="86">
        <v>-1161.92</v>
      </c>
      <c r="K97" s="86">
        <v>-1161.92</v>
      </c>
      <c r="L97" s="86">
        <v>-1161.92</v>
      </c>
      <c r="M97" s="86">
        <v>-1161.92</v>
      </c>
      <c r="N97" s="86">
        <v>-1161.92</v>
      </c>
      <c r="O97" s="86">
        <v>-1161.92</v>
      </c>
      <c r="P97" s="86">
        <v>-1161.92</v>
      </c>
      <c r="Q97" s="86">
        <v>-1161.92</v>
      </c>
      <c r="R97" s="86">
        <v>-1161.92</v>
      </c>
      <c r="S97" s="2"/>
      <c r="T97" s="2"/>
      <c r="U97" s="2"/>
      <c r="V97" s="2"/>
      <c r="W97" s="2"/>
      <c r="X97" s="2"/>
      <c r="Y97" s="2"/>
      <c r="Z97" s="2"/>
    </row>
    <row r="98">
      <c r="A98" s="64"/>
      <c r="B98" s="72" t="s">
        <v>407</v>
      </c>
      <c r="C98" s="73">
        <v>4.0</v>
      </c>
      <c r="D98" s="72" t="s">
        <v>441</v>
      </c>
      <c r="E98" s="84" t="s">
        <v>404</v>
      </c>
      <c r="F98" s="85"/>
      <c r="G98" s="85">
        <v>-9100.0</v>
      </c>
      <c r="H98" s="86"/>
      <c r="I98" s="86"/>
      <c r="J98" s="86"/>
      <c r="K98" s="86"/>
      <c r="L98" s="86"/>
      <c r="M98" s="86"/>
      <c r="N98" s="86"/>
      <c r="O98" s="86"/>
      <c r="P98" s="86"/>
      <c r="Q98" s="86"/>
      <c r="R98" s="86"/>
      <c r="S98" s="2"/>
      <c r="T98" s="2"/>
      <c r="U98" s="2"/>
      <c r="V98" s="2"/>
      <c r="W98" s="2"/>
      <c r="X98" s="2"/>
      <c r="Y98" s="2"/>
      <c r="Z98" s="2"/>
    </row>
    <row r="99">
      <c r="A99" s="64">
        <v>97.0</v>
      </c>
      <c r="B99" s="72" t="s">
        <v>407</v>
      </c>
      <c r="C99" s="73">
        <v>5.0</v>
      </c>
      <c r="D99" s="72" t="s">
        <v>442</v>
      </c>
      <c r="E99" s="84" t="s">
        <v>404</v>
      </c>
      <c r="F99" s="85">
        <v>-10.99</v>
      </c>
      <c r="G99" s="85">
        <v>-5.99</v>
      </c>
      <c r="H99" s="86">
        <v>-5.99</v>
      </c>
      <c r="I99" s="86">
        <v>-5.99</v>
      </c>
      <c r="J99" s="86">
        <v>-5.99</v>
      </c>
      <c r="K99" s="86">
        <v>-5.99</v>
      </c>
      <c r="L99" s="86">
        <v>-5.99</v>
      </c>
      <c r="M99" s="86">
        <v>-5.99</v>
      </c>
      <c r="N99" s="86">
        <v>-5.99</v>
      </c>
      <c r="O99" s="86">
        <v>-5.99</v>
      </c>
      <c r="P99" s="86">
        <v>-5.99</v>
      </c>
      <c r="Q99" s="86">
        <v>-5.99</v>
      </c>
      <c r="R99" s="86">
        <v>-5.99</v>
      </c>
      <c r="S99" s="2"/>
      <c r="T99" s="2"/>
      <c r="U99" s="2"/>
      <c r="V99" s="2"/>
      <c r="W99" s="2"/>
      <c r="X99" s="2"/>
      <c r="Y99" s="2"/>
      <c r="Z99" s="2"/>
    </row>
    <row r="100">
      <c r="A100" s="71">
        <v>104.0</v>
      </c>
      <c r="B100" s="72" t="s">
        <v>407</v>
      </c>
      <c r="C100" s="73">
        <v>6.0</v>
      </c>
      <c r="D100" s="72" t="s">
        <v>143</v>
      </c>
      <c r="E100" s="84" t="s">
        <v>404</v>
      </c>
      <c r="F100" s="85">
        <v>-64.34</v>
      </c>
      <c r="G100" s="85">
        <v>-66.22</v>
      </c>
      <c r="H100" s="86">
        <v>-66.23</v>
      </c>
      <c r="I100" s="86">
        <v>-66.23</v>
      </c>
      <c r="J100" s="86">
        <v>-66.23</v>
      </c>
      <c r="K100" s="86">
        <v>-66.23</v>
      </c>
      <c r="L100" s="86">
        <v>-66.23</v>
      </c>
      <c r="M100" s="86">
        <v>-66.23</v>
      </c>
      <c r="N100" s="86">
        <v>-66.23</v>
      </c>
      <c r="O100" s="86">
        <v>-66.23</v>
      </c>
      <c r="P100" s="86">
        <v>-66.23</v>
      </c>
      <c r="Q100" s="86">
        <v>-66.23</v>
      </c>
      <c r="R100" s="86">
        <v>-66.23</v>
      </c>
      <c r="S100" s="2"/>
      <c r="T100" s="2"/>
      <c r="U100" s="2"/>
      <c r="V100" s="2"/>
      <c r="W100" s="2"/>
      <c r="X100" s="2"/>
      <c r="Y100" s="2"/>
      <c r="Z100" s="2"/>
    </row>
    <row r="101">
      <c r="A101" s="71">
        <v>105.0</v>
      </c>
      <c r="B101" s="72" t="s">
        <v>407</v>
      </c>
      <c r="C101" s="73">
        <v>6.0</v>
      </c>
      <c r="D101" s="72" t="s">
        <v>144</v>
      </c>
      <c r="E101" s="84" t="s">
        <v>404</v>
      </c>
      <c r="F101" s="85">
        <v>-61.61</v>
      </c>
      <c r="G101" s="85">
        <v>-63.4</v>
      </c>
      <c r="H101" s="86">
        <v>-63.396</v>
      </c>
      <c r="I101" s="86">
        <v>-63.396</v>
      </c>
      <c r="J101" s="86">
        <v>-63.396</v>
      </c>
      <c r="K101" s="86">
        <v>-63.396</v>
      </c>
      <c r="L101" s="86">
        <v>-63.396</v>
      </c>
      <c r="M101" s="86">
        <v>-63.396</v>
      </c>
      <c r="N101" s="86">
        <v>-63.396</v>
      </c>
      <c r="O101" s="86">
        <v>-63.396</v>
      </c>
      <c r="P101" s="86">
        <v>-63.396</v>
      </c>
      <c r="Q101" s="86">
        <v>-63.396</v>
      </c>
      <c r="R101" s="86">
        <v>-63.396</v>
      </c>
      <c r="S101" s="2"/>
      <c r="T101" s="2"/>
      <c r="U101" s="2"/>
      <c r="V101" s="2"/>
      <c r="W101" s="2"/>
      <c r="X101" s="2"/>
      <c r="Y101" s="2"/>
      <c r="Z101" s="2"/>
    </row>
    <row r="102">
      <c r="A102" s="64">
        <v>106.0</v>
      </c>
      <c r="B102" s="72" t="s">
        <v>407</v>
      </c>
      <c r="C102" s="73">
        <v>6.0</v>
      </c>
      <c r="D102" s="72" t="s">
        <v>145</v>
      </c>
      <c r="E102" s="84" t="s">
        <v>404</v>
      </c>
      <c r="F102" s="85">
        <v>-64.34</v>
      </c>
      <c r="G102" s="85">
        <v>-71.54</v>
      </c>
      <c r="H102" s="86">
        <v>-71.54</v>
      </c>
      <c r="I102" s="86">
        <v>-71.54</v>
      </c>
      <c r="J102" s="86">
        <v>-71.54</v>
      </c>
      <c r="K102" s="86">
        <v>-71.54</v>
      </c>
      <c r="L102" s="86">
        <v>-71.54</v>
      </c>
      <c r="M102" s="86">
        <v>-71.54</v>
      </c>
      <c r="N102" s="86">
        <v>-71.54</v>
      </c>
      <c r="O102" s="86">
        <v>-71.54</v>
      </c>
      <c r="P102" s="86">
        <v>-71.54</v>
      </c>
      <c r="Q102" s="86">
        <v>-71.54</v>
      </c>
      <c r="R102" s="86">
        <v>-71.54</v>
      </c>
      <c r="S102" s="2"/>
      <c r="T102" s="2"/>
      <c r="U102" s="2"/>
      <c r="V102" s="2"/>
      <c r="W102" s="2"/>
      <c r="X102" s="2"/>
      <c r="Y102" s="2"/>
      <c r="Z102" s="2"/>
    </row>
    <row r="103">
      <c r="A103" s="71">
        <v>107.0</v>
      </c>
      <c r="B103" s="72" t="s">
        <v>407</v>
      </c>
      <c r="C103" s="73">
        <v>6.0</v>
      </c>
      <c r="D103" s="72" t="s">
        <v>146</v>
      </c>
      <c r="E103" s="84" t="s">
        <v>404</v>
      </c>
      <c r="F103" s="85">
        <v>-61.61</v>
      </c>
      <c r="G103" s="85">
        <v>-63.4</v>
      </c>
      <c r="H103" s="86">
        <v>-63.396</v>
      </c>
      <c r="I103" s="86">
        <v>-63.396</v>
      </c>
      <c r="J103" s="86">
        <v>-63.396</v>
      </c>
      <c r="K103" s="86">
        <v>-63.396</v>
      </c>
      <c r="L103" s="86">
        <v>-63.396</v>
      </c>
      <c r="M103" s="86">
        <v>-63.396</v>
      </c>
      <c r="N103" s="86">
        <v>-63.396</v>
      </c>
      <c r="O103" s="86">
        <v>-63.396</v>
      </c>
      <c r="P103" s="86">
        <v>-63.396</v>
      </c>
      <c r="Q103" s="86">
        <v>-63.396</v>
      </c>
      <c r="R103" s="86">
        <v>-63.396</v>
      </c>
      <c r="S103" s="2"/>
      <c r="T103" s="2"/>
      <c r="U103" s="2"/>
      <c r="V103" s="2"/>
      <c r="W103" s="2"/>
      <c r="X103" s="2"/>
      <c r="Y103" s="2"/>
      <c r="Z103" s="2"/>
    </row>
    <row r="104">
      <c r="A104" s="71">
        <v>108.0</v>
      </c>
      <c r="B104" s="72" t="s">
        <v>407</v>
      </c>
      <c r="C104" s="73">
        <v>6.0</v>
      </c>
      <c r="D104" s="72" t="s">
        <v>147</v>
      </c>
      <c r="E104" s="84" t="s">
        <v>404</v>
      </c>
      <c r="F104" s="85">
        <v>-64.34</v>
      </c>
      <c r="G104" s="85">
        <v>-66.22</v>
      </c>
      <c r="H104" s="86">
        <v>-66.216</v>
      </c>
      <c r="I104" s="86">
        <v>-66.216</v>
      </c>
      <c r="J104" s="86">
        <v>-66.216</v>
      </c>
      <c r="K104" s="86">
        <v>-66.216</v>
      </c>
      <c r="L104" s="86">
        <v>-66.216</v>
      </c>
      <c r="M104" s="86">
        <v>-66.216</v>
      </c>
      <c r="N104" s="86">
        <v>-66.216</v>
      </c>
      <c r="O104" s="86">
        <v>-66.216</v>
      </c>
      <c r="P104" s="86">
        <v>-66.216</v>
      </c>
      <c r="Q104" s="86">
        <v>-66.216</v>
      </c>
      <c r="R104" s="86">
        <v>-66.216</v>
      </c>
      <c r="S104" s="2"/>
      <c r="T104" s="2"/>
      <c r="U104" s="2"/>
      <c r="V104" s="2"/>
      <c r="W104" s="2"/>
      <c r="X104" s="2"/>
      <c r="Y104" s="2"/>
      <c r="Z104" s="2"/>
    </row>
    <row r="105">
      <c r="A105" s="71">
        <v>110.0</v>
      </c>
      <c r="B105" s="72" t="s">
        <v>407</v>
      </c>
      <c r="C105" s="73">
        <v>6.0</v>
      </c>
      <c r="D105" s="72" t="s">
        <v>149</v>
      </c>
      <c r="E105" s="84" t="s">
        <v>404</v>
      </c>
      <c r="F105" s="85">
        <v>-482.32</v>
      </c>
      <c r="G105" s="85">
        <v>-482.77</v>
      </c>
      <c r="H105" s="86">
        <f t="shared" ref="H105:R105" si="4">G105+0.87</f>
        <v>-481.9</v>
      </c>
      <c r="I105" s="86">
        <f t="shared" si="4"/>
        <v>-481.03</v>
      </c>
      <c r="J105" s="86">
        <f t="shared" si="4"/>
        <v>-480.16</v>
      </c>
      <c r="K105" s="86">
        <f t="shared" si="4"/>
        <v>-479.29</v>
      </c>
      <c r="L105" s="86">
        <f t="shared" si="4"/>
        <v>-478.42</v>
      </c>
      <c r="M105" s="86">
        <f t="shared" si="4"/>
        <v>-477.55</v>
      </c>
      <c r="N105" s="86">
        <f t="shared" si="4"/>
        <v>-476.68</v>
      </c>
      <c r="O105" s="86">
        <f t="shared" si="4"/>
        <v>-475.81</v>
      </c>
      <c r="P105" s="86">
        <f t="shared" si="4"/>
        <v>-474.94</v>
      </c>
      <c r="Q105" s="86">
        <f t="shared" si="4"/>
        <v>-474.07</v>
      </c>
      <c r="R105" s="86">
        <f t="shared" si="4"/>
        <v>-473.2</v>
      </c>
      <c r="S105" s="2"/>
      <c r="T105" s="2"/>
      <c r="U105" s="2"/>
      <c r="V105" s="2"/>
      <c r="W105" s="2"/>
      <c r="X105" s="2"/>
      <c r="Y105" s="2"/>
      <c r="Z105" s="2"/>
    </row>
    <row r="106">
      <c r="A106" s="64">
        <v>142.0</v>
      </c>
      <c r="B106" s="72" t="s">
        <v>407</v>
      </c>
      <c r="C106" s="73">
        <v>29.0</v>
      </c>
      <c r="D106" s="72" t="s">
        <v>141</v>
      </c>
      <c r="E106" s="84" t="s">
        <v>404</v>
      </c>
      <c r="F106" s="85">
        <v>-16.8</v>
      </c>
      <c r="G106" s="85">
        <v>-19.68</v>
      </c>
      <c r="H106" s="86">
        <v>-19.68</v>
      </c>
      <c r="I106" s="86">
        <v>-19.68</v>
      </c>
      <c r="J106" s="86">
        <v>-19.68</v>
      </c>
      <c r="K106" s="86">
        <v>-19.68</v>
      </c>
      <c r="L106" s="86">
        <v>-19.68</v>
      </c>
      <c r="M106" s="86">
        <v>-19.68</v>
      </c>
      <c r="N106" s="86">
        <v>-19.68</v>
      </c>
      <c r="O106" s="86">
        <v>-19.68</v>
      </c>
      <c r="P106" s="86">
        <v>-19.68</v>
      </c>
      <c r="Q106" s="86">
        <v>-19.68</v>
      </c>
      <c r="R106" s="86">
        <v>-19.68</v>
      </c>
      <c r="S106" s="2"/>
      <c r="T106" s="2"/>
      <c r="U106" s="2"/>
      <c r="V106" s="2"/>
      <c r="W106" s="2"/>
      <c r="X106" s="2"/>
      <c r="Y106" s="2"/>
      <c r="Z106" s="2"/>
    </row>
    <row r="107">
      <c r="A107" s="71">
        <v>41.0</v>
      </c>
      <c r="B107" s="72" t="s">
        <v>407</v>
      </c>
      <c r="C107" s="73">
        <v>1.0</v>
      </c>
      <c r="D107" s="72" t="s">
        <v>57</v>
      </c>
      <c r="E107" s="84" t="s">
        <v>404</v>
      </c>
      <c r="F107" s="85">
        <v>-258.21</v>
      </c>
      <c r="G107" s="85">
        <v>-317.66</v>
      </c>
      <c r="H107" s="86">
        <v>-258.21</v>
      </c>
      <c r="I107" s="86">
        <v>-258.21</v>
      </c>
      <c r="J107" s="86">
        <v>-258.21</v>
      </c>
      <c r="K107" s="86">
        <v>-258.21</v>
      </c>
      <c r="L107" s="86">
        <v>-258.21</v>
      </c>
      <c r="M107" s="86">
        <v>-258.21</v>
      </c>
      <c r="N107" s="86">
        <v>-258.21</v>
      </c>
      <c r="O107" s="86">
        <v>-258.21</v>
      </c>
      <c r="P107" s="86">
        <v>-258.21</v>
      </c>
      <c r="Q107" s="86">
        <v>-258.21</v>
      </c>
      <c r="R107" s="86">
        <v>-258.21</v>
      </c>
      <c r="S107" s="2"/>
      <c r="T107" s="2"/>
      <c r="U107" s="2"/>
      <c r="V107" s="2"/>
      <c r="W107" s="2"/>
      <c r="X107" s="2"/>
      <c r="Y107" s="2"/>
      <c r="Z107" s="2"/>
    </row>
    <row r="108">
      <c r="A108" s="71"/>
      <c r="B108" s="72" t="s">
        <v>407</v>
      </c>
      <c r="C108" s="73">
        <v>1.0</v>
      </c>
      <c r="D108" s="93" t="s">
        <v>120</v>
      </c>
      <c r="E108" s="84" t="s">
        <v>404</v>
      </c>
      <c r="F108" s="92"/>
      <c r="G108" s="85">
        <v>-33.9</v>
      </c>
      <c r="H108" s="86">
        <v>33.9</v>
      </c>
      <c r="I108" s="86">
        <v>33.9</v>
      </c>
      <c r="J108" s="86">
        <v>33.9</v>
      </c>
      <c r="K108" s="86">
        <v>33.9</v>
      </c>
      <c r="L108" s="86">
        <v>14.18</v>
      </c>
      <c r="M108" s="86">
        <v>14.12</v>
      </c>
      <c r="N108" s="86">
        <v>14.12</v>
      </c>
      <c r="O108" s="86">
        <v>14.12</v>
      </c>
      <c r="P108" s="86">
        <v>14.12</v>
      </c>
      <c r="Q108" s="86">
        <v>14.12</v>
      </c>
      <c r="R108" s="86">
        <v>14.12</v>
      </c>
      <c r="S108" s="2"/>
      <c r="T108" s="2"/>
      <c r="U108" s="2"/>
      <c r="V108" s="2"/>
      <c r="W108" s="2"/>
      <c r="X108" s="2"/>
      <c r="Y108" s="2"/>
      <c r="Z108" s="2"/>
    </row>
    <row r="109">
      <c r="A109" s="71">
        <v>111.0</v>
      </c>
      <c r="B109" s="72" t="s">
        <v>407</v>
      </c>
      <c r="C109" s="73">
        <v>8.0</v>
      </c>
      <c r="D109" s="72" t="s">
        <v>49</v>
      </c>
      <c r="E109" s="84" t="s">
        <v>404</v>
      </c>
      <c r="F109" s="85">
        <f>-46.23-43.87-31.84</f>
        <v>-121.94</v>
      </c>
      <c r="G109" s="85">
        <f>-75.35</f>
        <v>-75.35</v>
      </c>
      <c r="H109" s="86">
        <v>-131.86</v>
      </c>
      <c r="I109" s="86">
        <v>-131.86</v>
      </c>
      <c r="J109" s="86">
        <v>-131.86</v>
      </c>
      <c r="K109" s="86">
        <v>-131.86</v>
      </c>
      <c r="L109" s="86">
        <v>-131.86</v>
      </c>
      <c r="M109" s="86">
        <v>-131.86</v>
      </c>
      <c r="N109" s="86">
        <v>-131.86</v>
      </c>
      <c r="O109" s="86">
        <v>-131.86</v>
      </c>
      <c r="P109" s="86">
        <v>-131.86</v>
      </c>
      <c r="Q109" s="86">
        <v>-131.86</v>
      </c>
      <c r="R109" s="86">
        <v>-131.86</v>
      </c>
      <c r="S109" s="2"/>
      <c r="T109" s="2"/>
      <c r="U109" s="2"/>
      <c r="V109" s="2"/>
      <c r="W109" s="2"/>
      <c r="X109" s="2"/>
      <c r="Y109" s="2"/>
      <c r="Z109" s="2"/>
    </row>
    <row r="110">
      <c r="A110" s="71">
        <v>150.0</v>
      </c>
      <c r="B110" s="72" t="s">
        <v>443</v>
      </c>
      <c r="C110" s="95" t="s">
        <v>178</v>
      </c>
      <c r="D110" s="72" t="s">
        <v>444</v>
      </c>
      <c r="E110" s="84" t="s">
        <v>404</v>
      </c>
      <c r="F110" s="85">
        <v>-80.0</v>
      </c>
      <c r="G110" s="96">
        <v>-100.0</v>
      </c>
      <c r="H110" s="86">
        <v>-86.4</v>
      </c>
      <c r="I110" s="97"/>
      <c r="J110" s="2"/>
      <c r="K110" s="86">
        <v>-172.8</v>
      </c>
      <c r="L110" s="2"/>
      <c r="M110" s="2"/>
      <c r="N110" s="2"/>
      <c r="O110" s="2"/>
      <c r="P110" s="2"/>
      <c r="Q110" s="86">
        <v>-86.4</v>
      </c>
      <c r="R110" s="86">
        <v>-86.4</v>
      </c>
      <c r="S110" s="2"/>
      <c r="T110" s="2"/>
      <c r="U110" s="2"/>
      <c r="V110" s="2"/>
      <c r="W110" s="2"/>
      <c r="X110" s="2"/>
      <c r="Y110" s="2"/>
      <c r="Z110" s="2"/>
    </row>
    <row r="111">
      <c r="A111" s="71">
        <v>162.0</v>
      </c>
      <c r="B111" s="72" t="s">
        <v>443</v>
      </c>
      <c r="C111" s="95" t="s">
        <v>178</v>
      </c>
      <c r="D111" s="72" t="s">
        <v>445</v>
      </c>
      <c r="E111" s="84" t="s">
        <v>404</v>
      </c>
      <c r="F111" s="85">
        <v>-412.5</v>
      </c>
      <c r="G111" s="85">
        <v>-165.0</v>
      </c>
      <c r="H111" s="86">
        <f t="shared" ref="H111:R111" si="5">4*-165</f>
        <v>-660</v>
      </c>
      <c r="I111" s="86">
        <f t="shared" si="5"/>
        <v>-660</v>
      </c>
      <c r="J111" s="86">
        <f t="shared" si="5"/>
        <v>-660</v>
      </c>
      <c r="K111" s="86">
        <f t="shared" si="5"/>
        <v>-660</v>
      </c>
      <c r="L111" s="86">
        <f t="shared" si="5"/>
        <v>-660</v>
      </c>
      <c r="M111" s="86">
        <f t="shared" si="5"/>
        <v>-660</v>
      </c>
      <c r="N111" s="86">
        <f t="shared" si="5"/>
        <v>-660</v>
      </c>
      <c r="O111" s="86">
        <f t="shared" si="5"/>
        <v>-660</v>
      </c>
      <c r="P111" s="86">
        <f t="shared" si="5"/>
        <v>-660</v>
      </c>
      <c r="Q111" s="86">
        <f t="shared" si="5"/>
        <v>-660</v>
      </c>
      <c r="R111" s="86">
        <f t="shared" si="5"/>
        <v>-660</v>
      </c>
      <c r="S111" s="2"/>
      <c r="T111" s="2"/>
      <c r="U111" s="2"/>
      <c r="V111" s="2"/>
      <c r="W111" s="2"/>
      <c r="X111" s="2"/>
      <c r="Y111" s="2"/>
      <c r="Z111" s="2"/>
    </row>
    <row r="112">
      <c r="A112" s="71">
        <v>152.0</v>
      </c>
      <c r="B112" s="72" t="s">
        <v>446</v>
      </c>
      <c r="C112" s="95" t="s">
        <v>178</v>
      </c>
      <c r="D112" s="72" t="s">
        <v>447</v>
      </c>
      <c r="E112" s="98" t="s">
        <v>404</v>
      </c>
      <c r="F112" s="2"/>
      <c r="G112" s="99">
        <v>-375.08</v>
      </c>
      <c r="H112" s="100"/>
      <c r="I112" s="2"/>
      <c r="J112" s="2"/>
      <c r="K112" s="2"/>
      <c r="L112" s="2"/>
      <c r="M112" s="72"/>
      <c r="N112" s="2"/>
      <c r="O112" s="2"/>
      <c r="P112" s="2"/>
      <c r="Q112" s="2"/>
      <c r="R112" s="2"/>
      <c r="S112" s="2"/>
      <c r="T112" s="2"/>
      <c r="U112" s="2"/>
      <c r="V112" s="2"/>
      <c r="W112" s="2"/>
      <c r="X112" s="2"/>
      <c r="Y112" s="2"/>
      <c r="Z112" s="2"/>
    </row>
    <row r="113">
      <c r="A113" s="64"/>
      <c r="B113" s="91" t="s">
        <v>407</v>
      </c>
      <c r="C113" s="73"/>
      <c r="D113" s="72" t="s">
        <v>448</v>
      </c>
      <c r="E113" s="98" t="s">
        <v>404</v>
      </c>
      <c r="F113" s="2"/>
      <c r="G113" s="99">
        <v>-199.0</v>
      </c>
      <c r="H113" s="101"/>
      <c r="I113" s="2"/>
      <c r="J113" s="2"/>
      <c r="K113" s="2"/>
      <c r="L113" s="2"/>
      <c r="M113" s="72"/>
      <c r="N113" s="2"/>
      <c r="O113" s="2"/>
      <c r="P113" s="2"/>
      <c r="Q113" s="2"/>
      <c r="R113" s="2"/>
      <c r="S113" s="2"/>
      <c r="T113" s="2"/>
      <c r="U113" s="2"/>
      <c r="V113" s="2"/>
      <c r="W113" s="2"/>
      <c r="X113" s="2"/>
      <c r="Y113" s="2"/>
      <c r="Z113" s="2"/>
    </row>
    <row r="114">
      <c r="A114" s="71">
        <v>114.0</v>
      </c>
      <c r="B114" s="72" t="s">
        <v>407</v>
      </c>
      <c r="C114" s="73">
        <v>10.0</v>
      </c>
      <c r="D114" s="91" t="s">
        <v>154</v>
      </c>
      <c r="E114" s="84" t="s">
        <v>404</v>
      </c>
      <c r="F114" s="85">
        <v>-656.12</v>
      </c>
      <c r="G114" s="85">
        <v>-656.12</v>
      </c>
      <c r="H114" s="86">
        <v>-654.49</v>
      </c>
      <c r="I114" s="86">
        <v>-654.49</v>
      </c>
      <c r="J114" s="86">
        <v>-654.49</v>
      </c>
      <c r="K114" s="86">
        <v>-654.49</v>
      </c>
      <c r="L114" s="86">
        <v>-654.49</v>
      </c>
      <c r="M114" s="86">
        <v>-654.49</v>
      </c>
      <c r="N114" s="86">
        <v>-654.49</v>
      </c>
      <c r="O114" s="86">
        <v>-654.49</v>
      </c>
      <c r="P114" s="86">
        <v>-654.49</v>
      </c>
      <c r="Q114" s="86">
        <v>-654.49</v>
      </c>
      <c r="R114" s="86">
        <v>-654.49</v>
      </c>
      <c r="S114" s="2"/>
      <c r="T114" s="2"/>
      <c r="U114" s="2"/>
      <c r="V114" s="2"/>
      <c r="W114" s="2"/>
      <c r="X114" s="2"/>
      <c r="Y114" s="2"/>
      <c r="Z114" s="2"/>
    </row>
    <row r="115">
      <c r="A115" s="64">
        <v>115.0</v>
      </c>
      <c r="B115" s="72" t="s">
        <v>407</v>
      </c>
      <c r="C115" s="73">
        <v>10.0</v>
      </c>
      <c r="D115" s="72" t="s">
        <v>50</v>
      </c>
      <c r="E115" s="84" t="s">
        <v>404</v>
      </c>
      <c r="F115" s="85">
        <v>-173.14</v>
      </c>
      <c r="G115" s="85">
        <v>-116.71</v>
      </c>
      <c r="H115" s="86">
        <v>-154.75</v>
      </c>
      <c r="I115" s="86">
        <v>-154.75</v>
      </c>
      <c r="J115" s="86">
        <v>-154.75</v>
      </c>
      <c r="K115" s="86">
        <v>-154.75</v>
      </c>
      <c r="L115" s="86">
        <v>-154.75</v>
      </c>
      <c r="M115" s="86">
        <v>-154.75</v>
      </c>
      <c r="N115" s="86">
        <v>-154.75</v>
      </c>
      <c r="O115" s="86">
        <v>-154.75</v>
      </c>
      <c r="P115" s="86">
        <v>-154.75</v>
      </c>
      <c r="Q115" s="86">
        <v>-154.75</v>
      </c>
      <c r="R115" s="86">
        <v>-154.75</v>
      </c>
      <c r="S115" s="2"/>
      <c r="T115" s="2"/>
      <c r="U115" s="2"/>
      <c r="V115" s="2"/>
      <c r="W115" s="2"/>
      <c r="X115" s="2"/>
      <c r="Y115" s="2"/>
      <c r="Z115" s="2"/>
    </row>
    <row r="116">
      <c r="A116" s="71">
        <v>113.0</v>
      </c>
      <c r="B116" s="72" t="s">
        <v>407</v>
      </c>
      <c r="C116" s="73">
        <v>10.0</v>
      </c>
      <c r="D116" s="94" t="s">
        <v>175</v>
      </c>
      <c r="E116" s="102"/>
      <c r="F116" s="85">
        <f>-61.5</f>
        <v>-61.5</v>
      </c>
      <c r="G116" s="86">
        <v>-61.5</v>
      </c>
      <c r="H116" s="86">
        <v>-61.5</v>
      </c>
      <c r="I116" s="86">
        <v>-61.5</v>
      </c>
      <c r="J116" s="86">
        <v>-61.5</v>
      </c>
      <c r="K116" s="86">
        <v>-61.5</v>
      </c>
      <c r="L116" s="86">
        <v>-61.5</v>
      </c>
      <c r="M116" s="86">
        <v>-61.5</v>
      </c>
      <c r="N116" s="86">
        <v>-61.5</v>
      </c>
      <c r="O116" s="86">
        <v>-61.5</v>
      </c>
      <c r="P116" s="86">
        <v>-61.5</v>
      </c>
      <c r="Q116" s="86">
        <v>-61.5</v>
      </c>
      <c r="R116" s="86">
        <v>-61.5</v>
      </c>
      <c r="S116" s="2"/>
      <c r="T116" s="2"/>
      <c r="U116" s="2"/>
      <c r="V116" s="2"/>
      <c r="W116" s="2"/>
      <c r="X116" s="2"/>
      <c r="Y116" s="2"/>
      <c r="Z116" s="2"/>
    </row>
    <row r="117">
      <c r="A117" s="71">
        <v>5.0</v>
      </c>
      <c r="B117" s="72" t="s">
        <v>407</v>
      </c>
      <c r="C117" s="73">
        <v>1.0</v>
      </c>
      <c r="D117" s="72" t="s">
        <v>174</v>
      </c>
      <c r="E117" s="102"/>
      <c r="F117" s="85">
        <v>300.0</v>
      </c>
      <c r="G117" s="86">
        <v>0.0</v>
      </c>
      <c r="H117" s="86">
        <v>0.0</v>
      </c>
      <c r="I117" s="86">
        <v>0.0</v>
      </c>
      <c r="J117" s="86">
        <v>0.0</v>
      </c>
      <c r="K117" s="86">
        <v>0.0</v>
      </c>
      <c r="L117" s="86">
        <v>0.0</v>
      </c>
      <c r="M117" s="86">
        <v>0.0</v>
      </c>
      <c r="N117" s="86">
        <v>0.0</v>
      </c>
      <c r="O117" s="86">
        <v>0.0</v>
      </c>
      <c r="P117" s="86">
        <v>0.0</v>
      </c>
      <c r="Q117" s="86">
        <v>0.0</v>
      </c>
      <c r="R117" s="86">
        <v>0.0</v>
      </c>
      <c r="S117" s="2"/>
      <c r="T117" s="2"/>
      <c r="U117" s="2"/>
      <c r="V117" s="2"/>
      <c r="W117" s="2"/>
      <c r="X117" s="2"/>
      <c r="Y117" s="2"/>
      <c r="Z117" s="2"/>
    </row>
    <row r="118">
      <c r="A118" s="64">
        <v>4.0</v>
      </c>
      <c r="B118" s="72" t="s">
        <v>407</v>
      </c>
      <c r="C118" s="73">
        <v>1.0</v>
      </c>
      <c r="D118" s="72" t="s">
        <v>176</v>
      </c>
      <c r="E118" s="102"/>
      <c r="F118" s="85">
        <f>0.78+0.91</f>
        <v>1.69</v>
      </c>
      <c r="G118" s="86">
        <v>0.5</v>
      </c>
      <c r="H118" s="86">
        <v>0.5</v>
      </c>
      <c r="I118" s="86">
        <v>0.5</v>
      </c>
      <c r="J118" s="86">
        <v>0.5</v>
      </c>
      <c r="K118" s="86">
        <v>0.5</v>
      </c>
      <c r="L118" s="86">
        <v>0.5</v>
      </c>
      <c r="M118" s="86">
        <v>0.5</v>
      </c>
      <c r="N118" s="86">
        <v>0.5</v>
      </c>
      <c r="O118" s="86">
        <v>0.5</v>
      </c>
      <c r="P118" s="86">
        <v>0.5</v>
      </c>
      <c r="Q118" s="86">
        <v>0.5</v>
      </c>
      <c r="R118" s="86">
        <v>0.5</v>
      </c>
      <c r="S118" s="2"/>
      <c r="T118" s="2"/>
      <c r="U118" s="2"/>
      <c r="V118" s="2"/>
      <c r="W118" s="2"/>
      <c r="X118" s="2"/>
      <c r="Y118" s="2"/>
      <c r="Z118" s="2"/>
    </row>
    <row r="119">
      <c r="A119" s="71">
        <v>20.0</v>
      </c>
      <c r="B119" s="72" t="s">
        <v>407</v>
      </c>
      <c r="C119" s="73">
        <v>1.0</v>
      </c>
      <c r="D119" s="2" t="s">
        <v>449</v>
      </c>
      <c r="E119" s="102"/>
      <c r="F119" s="90">
        <v>635.0</v>
      </c>
      <c r="G119" s="88">
        <v>635.0</v>
      </c>
      <c r="H119" s="88">
        <v>635.0</v>
      </c>
      <c r="I119" s="88">
        <v>635.0</v>
      </c>
      <c r="J119" s="88">
        <v>635.0</v>
      </c>
      <c r="K119" s="88">
        <v>635.0</v>
      </c>
      <c r="L119" s="88">
        <v>635.0</v>
      </c>
      <c r="M119" s="88">
        <v>635.0</v>
      </c>
      <c r="N119" s="88">
        <v>635.0</v>
      </c>
      <c r="O119" s="88">
        <v>635.0</v>
      </c>
      <c r="P119" s="88">
        <v>635.0</v>
      </c>
      <c r="Q119" s="88">
        <v>635.0</v>
      </c>
      <c r="R119" s="88">
        <v>635.0</v>
      </c>
      <c r="S119" s="2"/>
      <c r="T119" s="2"/>
      <c r="U119" s="2"/>
      <c r="V119" s="2"/>
      <c r="W119" s="2"/>
      <c r="X119" s="2"/>
      <c r="Y119" s="2"/>
      <c r="Z119" s="2"/>
    </row>
    <row r="120">
      <c r="A120" s="64">
        <v>88.0</v>
      </c>
      <c r="B120" s="72" t="s">
        <v>407</v>
      </c>
      <c r="C120" s="73">
        <v>3.0</v>
      </c>
      <c r="D120" s="72" t="s">
        <v>450</v>
      </c>
      <c r="E120" s="86"/>
      <c r="F120" s="86"/>
      <c r="G120" s="86"/>
      <c r="H120" s="86"/>
      <c r="I120" s="86">
        <v>-95.0</v>
      </c>
      <c r="J120" s="2"/>
      <c r="K120" s="86"/>
      <c r="L120" s="86"/>
      <c r="M120" s="86"/>
      <c r="N120" s="86"/>
      <c r="O120" s="86"/>
      <c r="P120" s="86"/>
      <c r="Q120" s="86"/>
      <c r="R120" s="86"/>
      <c r="S120" s="2"/>
      <c r="T120" s="2"/>
      <c r="U120" s="2"/>
      <c r="V120" s="2"/>
      <c r="W120" s="2"/>
      <c r="X120" s="2"/>
      <c r="Y120" s="2"/>
      <c r="Z120" s="2"/>
    </row>
    <row r="121">
      <c r="A121" s="71">
        <v>98.0</v>
      </c>
      <c r="B121" s="72" t="s">
        <v>407</v>
      </c>
      <c r="C121" s="73">
        <v>6.0</v>
      </c>
      <c r="D121" s="72" t="s">
        <v>451</v>
      </c>
      <c r="E121" s="2"/>
      <c r="F121" s="2"/>
      <c r="G121" s="2"/>
      <c r="H121" s="86">
        <v>-20.0</v>
      </c>
      <c r="I121" s="2"/>
      <c r="J121" s="2"/>
      <c r="K121" s="72"/>
      <c r="L121" s="86">
        <v>-20.0</v>
      </c>
      <c r="M121" s="2"/>
      <c r="N121" s="2"/>
      <c r="O121" s="2"/>
      <c r="P121" s="86">
        <v>-20.0</v>
      </c>
      <c r="Q121" s="2"/>
      <c r="R121" s="2"/>
      <c r="S121" s="2"/>
      <c r="T121" s="2"/>
      <c r="U121" s="2"/>
      <c r="V121" s="2"/>
      <c r="W121" s="2"/>
      <c r="X121" s="2"/>
      <c r="Y121" s="2"/>
      <c r="Z121" s="2"/>
    </row>
    <row r="122">
      <c r="A122" s="71">
        <v>99.0</v>
      </c>
      <c r="B122" s="72" t="s">
        <v>407</v>
      </c>
      <c r="C122" s="73">
        <v>6.0</v>
      </c>
      <c r="D122" s="91" t="s">
        <v>452</v>
      </c>
      <c r="E122" s="2"/>
      <c r="F122" s="2"/>
      <c r="G122" s="2"/>
      <c r="H122" s="86">
        <v>-20.0</v>
      </c>
      <c r="I122" s="2"/>
      <c r="J122" s="2"/>
      <c r="K122" s="72"/>
      <c r="L122" s="86">
        <v>-20.0</v>
      </c>
      <c r="M122" s="2"/>
      <c r="N122" s="2"/>
      <c r="O122" s="2"/>
      <c r="P122" s="86">
        <v>-20.0</v>
      </c>
      <c r="Q122" s="2"/>
      <c r="R122" s="2"/>
      <c r="S122" s="2"/>
      <c r="T122" s="2"/>
      <c r="U122" s="2"/>
      <c r="V122" s="2"/>
      <c r="W122" s="2"/>
      <c r="X122" s="2"/>
      <c r="Y122" s="2"/>
      <c r="Z122" s="2"/>
    </row>
    <row r="123">
      <c r="A123" s="64">
        <v>100.0</v>
      </c>
      <c r="B123" s="72" t="s">
        <v>407</v>
      </c>
      <c r="C123" s="73">
        <v>6.0</v>
      </c>
      <c r="D123" s="72" t="s">
        <v>453</v>
      </c>
      <c r="E123" s="2"/>
      <c r="F123" s="2"/>
      <c r="G123" s="2"/>
      <c r="H123" s="86">
        <v>-42.0</v>
      </c>
      <c r="I123" s="2"/>
      <c r="J123" s="2"/>
      <c r="K123" s="72"/>
      <c r="L123" s="86">
        <v>-42.0</v>
      </c>
      <c r="M123" s="2"/>
      <c r="N123" s="2"/>
      <c r="O123" s="2"/>
      <c r="P123" s="86">
        <v>-42.0</v>
      </c>
      <c r="Q123" s="2"/>
      <c r="R123" s="2"/>
      <c r="S123" s="2"/>
      <c r="T123" s="2"/>
      <c r="U123" s="2"/>
      <c r="V123" s="2"/>
      <c r="W123" s="2"/>
      <c r="X123" s="2"/>
      <c r="Y123" s="2"/>
      <c r="Z123" s="2"/>
    </row>
    <row r="124">
      <c r="A124" s="71">
        <v>101.0</v>
      </c>
      <c r="B124" s="72" t="s">
        <v>407</v>
      </c>
      <c r="C124" s="73">
        <v>6.0</v>
      </c>
      <c r="D124" s="72" t="s">
        <v>454</v>
      </c>
      <c r="E124" s="2"/>
      <c r="F124" s="2"/>
      <c r="G124" s="2"/>
      <c r="H124" s="86">
        <v>-34.0</v>
      </c>
      <c r="I124" s="2"/>
      <c r="J124" s="2"/>
      <c r="K124" s="72"/>
      <c r="L124" s="86">
        <v>-34.0</v>
      </c>
      <c r="M124" s="2"/>
      <c r="N124" s="2"/>
      <c r="O124" s="2"/>
      <c r="P124" s="86">
        <v>-34.0</v>
      </c>
      <c r="Q124" s="2"/>
      <c r="R124" s="2"/>
      <c r="S124" s="2"/>
      <c r="T124" s="2"/>
      <c r="U124" s="2"/>
      <c r="V124" s="2"/>
      <c r="W124" s="2"/>
      <c r="X124" s="2"/>
      <c r="Y124" s="2"/>
      <c r="Z124" s="2"/>
    </row>
    <row r="125">
      <c r="A125" s="71">
        <v>102.0</v>
      </c>
      <c r="B125" s="72" t="s">
        <v>407</v>
      </c>
      <c r="C125" s="73">
        <v>6.0</v>
      </c>
      <c r="D125" s="72" t="s">
        <v>455</v>
      </c>
      <c r="E125" s="2"/>
      <c r="F125" s="2"/>
      <c r="G125" s="2"/>
      <c r="H125" s="86">
        <v>-30.0</v>
      </c>
      <c r="I125" s="2"/>
      <c r="J125" s="2"/>
      <c r="K125" s="72"/>
      <c r="L125" s="86">
        <v>-30.0</v>
      </c>
      <c r="M125" s="2"/>
      <c r="N125" s="2"/>
      <c r="O125" s="2"/>
      <c r="P125" s="86">
        <v>-30.0</v>
      </c>
      <c r="Q125" s="2"/>
      <c r="R125" s="2"/>
      <c r="S125" s="2"/>
      <c r="T125" s="2"/>
      <c r="U125" s="2"/>
      <c r="V125" s="2"/>
      <c r="W125" s="2"/>
      <c r="X125" s="2"/>
      <c r="Y125" s="2"/>
      <c r="Z125" s="2"/>
    </row>
    <row r="126">
      <c r="A126" s="64">
        <v>103.0</v>
      </c>
      <c r="B126" s="72" t="s">
        <v>407</v>
      </c>
      <c r="C126" s="73">
        <v>6.0</v>
      </c>
      <c r="D126" s="72" t="s">
        <v>456</v>
      </c>
      <c r="E126" s="2"/>
      <c r="F126" s="72"/>
      <c r="G126" s="2"/>
      <c r="H126" s="86">
        <v>-30.0</v>
      </c>
      <c r="I126" s="2"/>
      <c r="J126" s="2"/>
      <c r="K126" s="72"/>
      <c r="L126" s="86">
        <v>-30.0</v>
      </c>
      <c r="M126" s="2"/>
      <c r="N126" s="2"/>
      <c r="O126" s="2"/>
      <c r="P126" s="86">
        <v>-30.0</v>
      </c>
      <c r="Q126" s="2"/>
      <c r="R126" s="2"/>
      <c r="S126" s="2"/>
      <c r="T126" s="2"/>
      <c r="U126" s="2"/>
      <c r="V126" s="2"/>
      <c r="W126" s="2"/>
      <c r="X126" s="2"/>
      <c r="Y126" s="2"/>
      <c r="Z126" s="2"/>
    </row>
    <row r="127">
      <c r="A127" s="64">
        <v>109.0</v>
      </c>
      <c r="B127" s="72" t="s">
        <v>407</v>
      </c>
      <c r="C127" s="73">
        <v>6.0</v>
      </c>
      <c r="D127" s="72" t="s">
        <v>48</v>
      </c>
      <c r="E127" s="102"/>
      <c r="F127" s="85">
        <v>-212.7</v>
      </c>
      <c r="G127" s="86">
        <v>-242.76</v>
      </c>
      <c r="H127" s="86">
        <v>-242.76</v>
      </c>
      <c r="I127" s="86">
        <v>-242.76</v>
      </c>
      <c r="J127" s="86">
        <v>-242.76</v>
      </c>
      <c r="K127" s="86">
        <v>-242.76</v>
      </c>
      <c r="L127" s="86">
        <v>-242.76</v>
      </c>
      <c r="M127" s="86">
        <v>-242.76</v>
      </c>
      <c r="N127" s="86">
        <v>-242.76</v>
      </c>
      <c r="O127" s="86">
        <v>-242.76</v>
      </c>
      <c r="P127" s="86">
        <v>-242.76</v>
      </c>
      <c r="Q127" s="86">
        <v>-242.76</v>
      </c>
      <c r="R127" s="86">
        <v>-242.76</v>
      </c>
      <c r="S127" s="2"/>
      <c r="T127" s="2"/>
      <c r="U127" s="2"/>
      <c r="V127" s="2"/>
      <c r="W127" s="2"/>
      <c r="X127" s="2"/>
      <c r="Y127" s="2"/>
      <c r="Z127" s="2"/>
    </row>
    <row r="128">
      <c r="A128" s="64">
        <v>112.0</v>
      </c>
      <c r="B128" s="72" t="s">
        <v>407</v>
      </c>
      <c r="C128" s="73">
        <v>9.0</v>
      </c>
      <c r="D128" s="72" t="s">
        <v>152</v>
      </c>
      <c r="E128" s="86"/>
      <c r="F128" s="86"/>
      <c r="G128" s="86"/>
      <c r="H128" s="86"/>
      <c r="I128" s="86"/>
      <c r="J128" s="86"/>
      <c r="K128" s="86"/>
      <c r="L128" s="86"/>
      <c r="M128" s="86"/>
      <c r="N128" s="86">
        <v>-33.09</v>
      </c>
      <c r="O128" s="86"/>
      <c r="P128" s="86"/>
      <c r="Q128" s="86"/>
      <c r="R128" s="86"/>
      <c r="S128" s="2"/>
      <c r="T128" s="2"/>
      <c r="U128" s="2"/>
      <c r="V128" s="2"/>
      <c r="W128" s="2"/>
      <c r="X128" s="2"/>
      <c r="Y128" s="2"/>
      <c r="Z128" s="2"/>
    </row>
    <row r="129">
      <c r="A129" s="71">
        <v>116.0</v>
      </c>
      <c r="B129" s="72" t="s">
        <v>407</v>
      </c>
      <c r="C129" s="73">
        <v>11.0</v>
      </c>
      <c r="D129" s="72" t="s">
        <v>457</v>
      </c>
      <c r="E129" s="102"/>
      <c r="F129" s="85">
        <v>-22.08</v>
      </c>
      <c r="G129" s="86">
        <v>-21.28</v>
      </c>
      <c r="H129" s="86">
        <v>-21.28</v>
      </c>
      <c r="I129" s="86">
        <v>-21.28</v>
      </c>
      <c r="J129" s="86">
        <v>-21.28</v>
      </c>
      <c r="K129" s="86">
        <v>-21.28</v>
      </c>
      <c r="L129" s="86">
        <v>-21.28</v>
      </c>
      <c r="M129" s="86">
        <v>-21.28</v>
      </c>
      <c r="N129" s="86">
        <v>-21.28</v>
      </c>
      <c r="O129" s="86">
        <v>-21.28</v>
      </c>
      <c r="P129" s="86">
        <v>-21.28</v>
      </c>
      <c r="Q129" s="86">
        <v>-21.28</v>
      </c>
      <c r="R129" s="86">
        <v>-21.28</v>
      </c>
      <c r="S129" s="2"/>
      <c r="T129" s="2"/>
      <c r="U129" s="2"/>
      <c r="V129" s="2"/>
      <c r="W129" s="2"/>
      <c r="X129" s="2"/>
      <c r="Y129" s="2"/>
      <c r="Z129" s="2"/>
    </row>
    <row r="130">
      <c r="A130" s="71">
        <v>117.0</v>
      </c>
      <c r="B130" s="72" t="s">
        <v>407</v>
      </c>
      <c r="C130" s="73">
        <v>14.0</v>
      </c>
      <c r="D130" s="72" t="s">
        <v>458</v>
      </c>
      <c r="E130" s="86"/>
      <c r="F130" s="86"/>
      <c r="G130" s="86"/>
      <c r="H130" s="86"/>
      <c r="I130" s="86"/>
      <c r="J130" s="86"/>
      <c r="K130" s="86">
        <v>-330.0</v>
      </c>
      <c r="L130" s="86"/>
      <c r="M130" s="86"/>
      <c r="N130" s="86"/>
      <c r="O130" s="86"/>
      <c r="P130" s="86"/>
      <c r="Q130" s="86"/>
      <c r="R130" s="86"/>
      <c r="S130" s="2"/>
      <c r="T130" s="2"/>
      <c r="U130" s="2"/>
      <c r="V130" s="2"/>
      <c r="W130" s="2"/>
      <c r="X130" s="2"/>
      <c r="Y130" s="2"/>
      <c r="Z130" s="2"/>
    </row>
    <row r="131">
      <c r="A131" s="64">
        <v>118.0</v>
      </c>
      <c r="B131" s="72" t="s">
        <v>407</v>
      </c>
      <c r="C131" s="73">
        <v>15.0</v>
      </c>
      <c r="D131" s="72" t="s">
        <v>155</v>
      </c>
      <c r="E131" s="102"/>
      <c r="F131" s="85">
        <v>-5.99</v>
      </c>
      <c r="G131" s="86">
        <v>-4.99</v>
      </c>
      <c r="H131" s="86">
        <v>-4.99</v>
      </c>
      <c r="I131" s="86">
        <v>-4.99</v>
      </c>
      <c r="J131" s="86">
        <v>-4.99</v>
      </c>
      <c r="K131" s="86">
        <v>-4.99</v>
      </c>
      <c r="L131" s="86">
        <v>-4.99</v>
      </c>
      <c r="M131" s="86">
        <v>-4.99</v>
      </c>
      <c r="N131" s="86">
        <v>-4.99</v>
      </c>
      <c r="O131" s="86">
        <v>-4.99</v>
      </c>
      <c r="P131" s="86">
        <v>-4.99</v>
      </c>
      <c r="Q131" s="86">
        <v>-4.99</v>
      </c>
      <c r="R131" s="86">
        <v>-4.99</v>
      </c>
      <c r="S131" s="2"/>
      <c r="T131" s="2"/>
      <c r="U131" s="2"/>
      <c r="V131" s="2"/>
      <c r="W131" s="2"/>
      <c r="X131" s="2"/>
      <c r="Y131" s="2"/>
      <c r="Z131" s="2"/>
    </row>
    <row r="132">
      <c r="A132" s="71">
        <v>119.0</v>
      </c>
      <c r="B132" s="72" t="s">
        <v>407</v>
      </c>
      <c r="C132" s="73">
        <v>15.0</v>
      </c>
      <c r="D132" s="72" t="s">
        <v>157</v>
      </c>
      <c r="E132" s="102"/>
      <c r="F132" s="85">
        <v>-55.78</v>
      </c>
      <c r="G132" s="86">
        <v>-59.32</v>
      </c>
      <c r="H132" s="86">
        <v>-59.32</v>
      </c>
      <c r="I132" s="86">
        <v>-59.32</v>
      </c>
      <c r="J132" s="86">
        <v>-59.32</v>
      </c>
      <c r="K132" s="86">
        <v>-59.32</v>
      </c>
      <c r="L132" s="86">
        <v>-59.32</v>
      </c>
      <c r="M132" s="86">
        <v>-59.32</v>
      </c>
      <c r="N132" s="86">
        <v>-59.32</v>
      </c>
      <c r="O132" s="86">
        <v>-59.32</v>
      </c>
      <c r="P132" s="86">
        <v>-59.32</v>
      </c>
      <c r="Q132" s="86">
        <v>-59.32</v>
      </c>
      <c r="R132" s="86">
        <v>-59.32</v>
      </c>
      <c r="S132" s="2"/>
      <c r="T132" s="2"/>
      <c r="U132" s="2"/>
      <c r="V132" s="2"/>
      <c r="W132" s="2"/>
      <c r="X132" s="2"/>
      <c r="Y132" s="2"/>
      <c r="Z132" s="2"/>
    </row>
    <row r="133">
      <c r="A133" s="71">
        <v>120.0</v>
      </c>
      <c r="B133" s="72" t="s">
        <v>407</v>
      </c>
      <c r="C133" s="73">
        <v>17.0</v>
      </c>
      <c r="D133" s="94" t="s">
        <v>160</v>
      </c>
      <c r="E133" s="102"/>
      <c r="F133" s="85">
        <v>-12.5</v>
      </c>
      <c r="G133" s="86">
        <v>-12.5</v>
      </c>
      <c r="H133" s="86">
        <v>-12.5</v>
      </c>
      <c r="I133" s="86">
        <v>-12.5</v>
      </c>
      <c r="J133" s="86">
        <v>-12.5</v>
      </c>
      <c r="K133" s="86">
        <v>-12.5</v>
      </c>
      <c r="L133" s="86">
        <v>-12.5</v>
      </c>
      <c r="M133" s="86">
        <v>-12.5</v>
      </c>
      <c r="N133" s="86">
        <v>-12.5</v>
      </c>
      <c r="O133" s="86">
        <v>-12.5</v>
      </c>
      <c r="P133" s="86">
        <v>-12.5</v>
      </c>
      <c r="Q133" s="86">
        <v>-12.5</v>
      </c>
      <c r="R133" s="86">
        <v>-12.5</v>
      </c>
      <c r="S133" s="2"/>
      <c r="T133" s="2"/>
      <c r="U133" s="2"/>
      <c r="V133" s="2"/>
      <c r="W133" s="2"/>
      <c r="X133" s="2"/>
      <c r="Y133" s="2"/>
      <c r="Z133" s="2"/>
    </row>
    <row r="134">
      <c r="A134" s="64">
        <v>121.0</v>
      </c>
      <c r="B134" s="72" t="s">
        <v>407</v>
      </c>
      <c r="C134" s="73">
        <v>17.0</v>
      </c>
      <c r="D134" s="72" t="s">
        <v>158</v>
      </c>
      <c r="E134" s="102"/>
      <c r="F134" s="85">
        <v>-22.47</v>
      </c>
      <c r="G134" s="86">
        <v>-23.84</v>
      </c>
      <c r="H134" s="86">
        <v>-23.84</v>
      </c>
      <c r="I134" s="86">
        <v>-23.84</v>
      </c>
      <c r="J134" s="86">
        <v>-23.84</v>
      </c>
      <c r="K134" s="86">
        <v>-23.84</v>
      </c>
      <c r="L134" s="86">
        <v>-23.84</v>
      </c>
      <c r="M134" s="86">
        <v>-23.84</v>
      </c>
      <c r="N134" s="86">
        <v>-23.84</v>
      </c>
      <c r="O134" s="86">
        <v>-23.84</v>
      </c>
      <c r="P134" s="86">
        <v>-23.84</v>
      </c>
      <c r="Q134" s="86">
        <v>-23.84</v>
      </c>
      <c r="R134" s="86">
        <v>-23.84</v>
      </c>
      <c r="S134" s="2"/>
      <c r="T134" s="2"/>
      <c r="U134" s="2"/>
      <c r="V134" s="2"/>
      <c r="W134" s="2"/>
      <c r="X134" s="2"/>
      <c r="Y134" s="2"/>
      <c r="Z134" s="2"/>
    </row>
    <row r="135">
      <c r="A135" s="71">
        <v>122.0</v>
      </c>
      <c r="B135" s="72" t="s">
        <v>407</v>
      </c>
      <c r="C135" s="73">
        <v>17.0</v>
      </c>
      <c r="D135" s="72" t="s">
        <v>159</v>
      </c>
      <c r="E135" s="102"/>
      <c r="F135" s="85">
        <v>-76.02</v>
      </c>
      <c r="G135" s="86">
        <v>-79.8</v>
      </c>
      <c r="H135" s="86">
        <v>-79.8</v>
      </c>
      <c r="I135" s="86">
        <v>-79.8</v>
      </c>
      <c r="J135" s="86">
        <v>-79.8</v>
      </c>
      <c r="K135" s="86">
        <v>-79.8</v>
      </c>
      <c r="L135" s="86">
        <v>-79.8</v>
      </c>
      <c r="M135" s="86">
        <v>-79.8</v>
      </c>
      <c r="N135" s="86">
        <v>-79.8</v>
      </c>
      <c r="O135" s="86">
        <v>-79.8</v>
      </c>
      <c r="P135" s="86">
        <v>-79.8</v>
      </c>
      <c r="Q135" s="86">
        <v>-79.8</v>
      </c>
      <c r="R135" s="86">
        <v>-79.8</v>
      </c>
      <c r="S135" s="2"/>
      <c r="T135" s="2"/>
      <c r="U135" s="2"/>
      <c r="V135" s="2"/>
      <c r="W135" s="2"/>
      <c r="X135" s="2"/>
      <c r="Y135" s="2"/>
      <c r="Z135" s="2"/>
    </row>
    <row r="136">
      <c r="A136" s="71">
        <v>123.0</v>
      </c>
      <c r="B136" s="72" t="s">
        <v>407</v>
      </c>
      <c r="C136" s="73">
        <v>19.0</v>
      </c>
      <c r="D136" s="72" t="s">
        <v>459</v>
      </c>
      <c r="E136" s="2"/>
      <c r="F136" s="2"/>
      <c r="G136" s="2"/>
      <c r="H136" s="72"/>
      <c r="I136" s="2"/>
      <c r="J136" s="2"/>
      <c r="K136" s="2"/>
      <c r="L136" s="2"/>
      <c r="M136" s="2"/>
      <c r="N136" s="2"/>
      <c r="O136" s="2"/>
      <c r="P136" s="2"/>
      <c r="Q136" s="86">
        <v>-172.8</v>
      </c>
      <c r="R136" s="86">
        <v>-172.8</v>
      </c>
      <c r="S136" s="2"/>
      <c r="T136" s="2"/>
      <c r="U136" s="2"/>
      <c r="V136" s="2"/>
      <c r="W136" s="2"/>
      <c r="X136" s="2"/>
      <c r="Y136" s="2"/>
      <c r="Z136" s="2"/>
    </row>
    <row r="137">
      <c r="A137" s="64">
        <v>124.0</v>
      </c>
      <c r="B137" s="72" t="s">
        <v>407</v>
      </c>
      <c r="C137" s="73">
        <v>19.0</v>
      </c>
      <c r="D137" s="72" t="s">
        <v>161</v>
      </c>
      <c r="E137" s="102"/>
      <c r="F137" s="85">
        <v>-29.99</v>
      </c>
      <c r="G137" s="86">
        <v>-29.99</v>
      </c>
      <c r="H137" s="86">
        <v>-29.99</v>
      </c>
      <c r="I137" s="86">
        <v>-29.99</v>
      </c>
      <c r="J137" s="86">
        <v>-29.99</v>
      </c>
      <c r="K137" s="86">
        <v>-29.99</v>
      </c>
      <c r="L137" s="86">
        <v>-29.99</v>
      </c>
      <c r="M137" s="86">
        <v>-29.99</v>
      </c>
      <c r="N137" s="86">
        <v>-29.99</v>
      </c>
      <c r="O137" s="86">
        <v>-29.99</v>
      </c>
      <c r="P137" s="86">
        <v>-29.99</v>
      </c>
      <c r="Q137" s="86">
        <v>-29.99</v>
      </c>
      <c r="R137" s="86">
        <v>-29.99</v>
      </c>
      <c r="S137" s="2"/>
      <c r="T137" s="2"/>
      <c r="U137" s="2"/>
      <c r="V137" s="2"/>
      <c r="W137" s="2"/>
      <c r="X137" s="2"/>
      <c r="Y137" s="2"/>
      <c r="Z137" s="2"/>
    </row>
    <row r="138">
      <c r="A138" s="71">
        <v>125.0</v>
      </c>
      <c r="B138" s="72" t="s">
        <v>407</v>
      </c>
      <c r="C138" s="73">
        <v>19.0</v>
      </c>
      <c r="D138" s="72" t="s">
        <v>162</v>
      </c>
      <c r="E138" s="102"/>
      <c r="F138" s="85">
        <v>-35.99</v>
      </c>
      <c r="G138" s="86">
        <v>-35.99</v>
      </c>
      <c r="H138" s="86">
        <v>-35.99</v>
      </c>
      <c r="I138" s="86">
        <v>-35.99</v>
      </c>
      <c r="J138" s="86">
        <v>-35.99</v>
      </c>
      <c r="K138" s="86">
        <v>-35.99</v>
      </c>
      <c r="L138" s="86">
        <v>-35.99</v>
      </c>
      <c r="M138" s="86">
        <v>-35.99</v>
      </c>
      <c r="N138" s="86">
        <v>-35.99</v>
      </c>
      <c r="O138" s="86">
        <v>-35.99</v>
      </c>
      <c r="P138" s="86">
        <v>-35.99</v>
      </c>
      <c r="Q138" s="86">
        <v>-35.99</v>
      </c>
      <c r="R138" s="86">
        <v>-35.99</v>
      </c>
      <c r="S138" s="2"/>
      <c r="T138" s="2"/>
      <c r="U138" s="2"/>
      <c r="V138" s="2"/>
      <c r="W138" s="2"/>
      <c r="X138" s="2"/>
      <c r="Y138" s="2"/>
      <c r="Z138" s="2"/>
    </row>
    <row r="139">
      <c r="A139" s="71">
        <v>126.0</v>
      </c>
      <c r="B139" s="72" t="s">
        <v>407</v>
      </c>
      <c r="C139" s="73">
        <v>20.0</v>
      </c>
      <c r="D139" s="72" t="s">
        <v>163</v>
      </c>
      <c r="E139" s="102"/>
      <c r="F139" s="85">
        <v>-5.99</v>
      </c>
      <c r="G139" s="86">
        <v>-4.99</v>
      </c>
      <c r="H139" s="86">
        <v>-4.99</v>
      </c>
      <c r="I139" s="86">
        <v>-4.99</v>
      </c>
      <c r="J139" s="86">
        <v>-4.99</v>
      </c>
      <c r="K139" s="86">
        <v>-4.99</v>
      </c>
      <c r="L139" s="86">
        <v>-4.99</v>
      </c>
      <c r="M139" s="86">
        <v>-4.99</v>
      </c>
      <c r="N139" s="86">
        <v>-4.99</v>
      </c>
      <c r="O139" s="86">
        <v>-4.99</v>
      </c>
      <c r="P139" s="86">
        <v>-4.99</v>
      </c>
      <c r="Q139" s="86">
        <v>-4.99</v>
      </c>
      <c r="R139" s="86">
        <v>-4.99</v>
      </c>
      <c r="S139" s="2"/>
      <c r="T139" s="2"/>
      <c r="U139" s="2"/>
      <c r="V139" s="2"/>
      <c r="W139" s="2"/>
      <c r="X139" s="2"/>
      <c r="Y139" s="2"/>
      <c r="Z139" s="2"/>
    </row>
    <row r="140">
      <c r="A140" s="64">
        <v>127.0</v>
      </c>
      <c r="B140" s="72" t="s">
        <v>407</v>
      </c>
      <c r="C140" s="73">
        <v>21.0</v>
      </c>
      <c r="D140" s="72" t="s">
        <v>460</v>
      </c>
      <c r="E140" s="2"/>
      <c r="F140" s="2"/>
      <c r="G140" s="2"/>
      <c r="H140" s="94"/>
      <c r="I140" s="2"/>
      <c r="J140" s="2"/>
      <c r="K140" s="2"/>
      <c r="L140" s="2"/>
      <c r="M140" s="2"/>
      <c r="N140" s="2"/>
      <c r="O140" s="86">
        <v>-141.48</v>
      </c>
      <c r="P140" s="2"/>
      <c r="Q140" s="2"/>
      <c r="R140" s="2"/>
      <c r="S140" s="2"/>
      <c r="T140" s="2"/>
      <c r="U140" s="2"/>
      <c r="V140" s="2"/>
      <c r="W140" s="2"/>
      <c r="X140" s="2"/>
      <c r="Y140" s="2"/>
      <c r="Z140" s="2"/>
    </row>
    <row r="141">
      <c r="A141" s="71">
        <v>128.0</v>
      </c>
      <c r="B141" s="72" t="s">
        <v>407</v>
      </c>
      <c r="C141" s="73">
        <v>22.0</v>
      </c>
      <c r="D141" s="72" t="s">
        <v>461</v>
      </c>
      <c r="E141" s="86"/>
      <c r="F141" s="86"/>
      <c r="G141" s="86"/>
      <c r="H141" s="86"/>
      <c r="I141" s="86"/>
      <c r="J141" s="86"/>
      <c r="K141" s="86"/>
      <c r="L141" s="86"/>
      <c r="M141" s="86"/>
      <c r="N141" s="86"/>
      <c r="O141" s="86">
        <v>-141.48</v>
      </c>
      <c r="P141" s="86"/>
      <c r="Q141" s="86"/>
      <c r="R141" s="86"/>
      <c r="S141" s="2"/>
      <c r="T141" s="2"/>
      <c r="U141" s="2"/>
      <c r="V141" s="2"/>
      <c r="W141" s="2"/>
      <c r="X141" s="2"/>
      <c r="Y141" s="2"/>
      <c r="Z141" s="2"/>
    </row>
    <row r="142">
      <c r="A142" s="71">
        <v>129.0</v>
      </c>
      <c r="B142" s="72" t="s">
        <v>407</v>
      </c>
      <c r="C142" s="73">
        <v>23.0</v>
      </c>
      <c r="D142" s="72" t="s">
        <v>462</v>
      </c>
      <c r="E142" s="102"/>
      <c r="F142" s="85">
        <v>-180.0</v>
      </c>
      <c r="G142" s="86">
        <v>-165.0</v>
      </c>
      <c r="H142" s="86">
        <v>-165.0</v>
      </c>
      <c r="I142" s="86">
        <v>-165.0</v>
      </c>
      <c r="J142" s="86">
        <v>-165.0</v>
      </c>
      <c r="K142" s="86">
        <v>-165.0</v>
      </c>
      <c r="L142" s="86">
        <v>-165.0</v>
      </c>
      <c r="M142" s="86">
        <v>-165.0</v>
      </c>
      <c r="N142" s="86">
        <v>-165.0</v>
      </c>
      <c r="O142" s="86">
        <v>-165.0</v>
      </c>
      <c r="P142" s="86">
        <v>-165.0</v>
      </c>
      <c r="Q142" s="86">
        <v>-165.0</v>
      </c>
      <c r="R142" s="86">
        <v>-165.0</v>
      </c>
      <c r="S142" s="2"/>
      <c r="T142" s="2"/>
      <c r="U142" s="2"/>
      <c r="V142" s="2"/>
      <c r="W142" s="2"/>
      <c r="X142" s="2"/>
      <c r="Y142" s="2"/>
      <c r="Z142" s="2"/>
    </row>
    <row r="143">
      <c r="A143" s="64">
        <v>130.0</v>
      </c>
      <c r="B143" s="72" t="s">
        <v>407</v>
      </c>
      <c r="C143" s="73">
        <v>23.0</v>
      </c>
      <c r="D143" s="72" t="s">
        <v>168</v>
      </c>
      <c r="E143" s="2"/>
      <c r="F143" s="2"/>
      <c r="G143" s="97"/>
      <c r="H143" s="101"/>
      <c r="I143" s="2"/>
      <c r="J143" s="2"/>
      <c r="K143" s="2"/>
      <c r="L143" s="2"/>
      <c r="M143" s="2"/>
      <c r="N143" s="86">
        <v>-295.0</v>
      </c>
      <c r="O143" s="2"/>
      <c r="P143" s="2"/>
      <c r="Q143" s="2"/>
      <c r="R143" s="2"/>
      <c r="S143" s="2"/>
      <c r="T143" s="2"/>
      <c r="U143" s="2"/>
      <c r="V143" s="2"/>
      <c r="W143" s="2"/>
      <c r="X143" s="2"/>
      <c r="Y143" s="2"/>
      <c r="Z143" s="2"/>
    </row>
    <row r="144">
      <c r="A144" s="71">
        <v>131.0</v>
      </c>
      <c r="B144" s="72" t="s">
        <v>407</v>
      </c>
      <c r="C144" s="73">
        <v>25.0</v>
      </c>
      <c r="D144" s="72" t="s">
        <v>463</v>
      </c>
      <c r="E144" s="2"/>
      <c r="F144" s="2"/>
      <c r="G144" s="86">
        <v>-85.0</v>
      </c>
      <c r="H144" s="86">
        <v>-85.0</v>
      </c>
      <c r="I144" s="86">
        <v>-85.0</v>
      </c>
      <c r="J144" s="86">
        <v>-85.0</v>
      </c>
      <c r="K144" s="86">
        <v>-85.0</v>
      </c>
      <c r="L144" s="86">
        <v>-85.0</v>
      </c>
      <c r="M144" s="86">
        <v>-85.0</v>
      </c>
      <c r="N144" s="2"/>
      <c r="O144" s="2"/>
      <c r="P144" s="2"/>
      <c r="Q144" s="2"/>
      <c r="R144" s="2"/>
      <c r="S144" s="2"/>
      <c r="T144" s="2"/>
      <c r="U144" s="2"/>
      <c r="V144" s="2"/>
      <c r="W144" s="2"/>
      <c r="X144" s="2"/>
      <c r="Y144" s="2"/>
      <c r="Z144" s="2"/>
    </row>
    <row r="145">
      <c r="A145" s="71">
        <v>132.0</v>
      </c>
      <c r="B145" s="72" t="s">
        <v>407</v>
      </c>
      <c r="C145" s="73">
        <v>25.0</v>
      </c>
      <c r="D145" s="72" t="s">
        <v>464</v>
      </c>
      <c r="E145" s="2"/>
      <c r="F145" s="2"/>
      <c r="G145" s="86">
        <v>-85.0</v>
      </c>
      <c r="H145" s="86">
        <v>-85.0</v>
      </c>
      <c r="I145" s="86">
        <v>-85.0</v>
      </c>
      <c r="J145" s="86">
        <v>-85.0</v>
      </c>
      <c r="K145" s="86">
        <v>-85.0</v>
      </c>
      <c r="L145" s="86">
        <v>-85.0</v>
      </c>
      <c r="M145" s="86">
        <v>-85.0</v>
      </c>
      <c r="N145" s="2"/>
      <c r="O145" s="2"/>
      <c r="P145" s="2"/>
      <c r="Q145" s="2"/>
      <c r="R145" s="2"/>
      <c r="S145" s="2"/>
      <c r="T145" s="2"/>
      <c r="U145" s="2"/>
      <c r="V145" s="2"/>
      <c r="W145" s="2"/>
      <c r="X145" s="2"/>
      <c r="Y145" s="2"/>
      <c r="Z145" s="2"/>
    </row>
    <row r="146">
      <c r="A146" s="64">
        <v>133.0</v>
      </c>
      <c r="B146" s="72" t="s">
        <v>407</v>
      </c>
      <c r="C146" s="73">
        <v>25.0</v>
      </c>
      <c r="D146" s="72" t="s">
        <v>465</v>
      </c>
      <c r="E146" s="2"/>
      <c r="F146" s="2"/>
      <c r="G146" s="86">
        <v>-42.0</v>
      </c>
      <c r="H146" s="86">
        <v>-42.0</v>
      </c>
      <c r="I146" s="86">
        <v>-42.0</v>
      </c>
      <c r="J146" s="86">
        <v>-42.0</v>
      </c>
      <c r="K146" s="86">
        <v>-42.0</v>
      </c>
      <c r="L146" s="86">
        <v>-42.0</v>
      </c>
      <c r="M146" s="86">
        <v>-42.0</v>
      </c>
      <c r="N146" s="2"/>
      <c r="O146" s="2"/>
      <c r="P146" s="2"/>
      <c r="Q146" s="2"/>
      <c r="R146" s="2"/>
      <c r="S146" s="2"/>
      <c r="T146" s="2"/>
      <c r="U146" s="2"/>
      <c r="V146" s="2"/>
      <c r="W146" s="2"/>
      <c r="X146" s="2"/>
      <c r="Y146" s="2"/>
      <c r="Z146" s="2"/>
    </row>
    <row r="147">
      <c r="A147" s="71">
        <v>134.0</v>
      </c>
      <c r="B147" s="72" t="s">
        <v>407</v>
      </c>
      <c r="C147" s="73">
        <v>25.0</v>
      </c>
      <c r="D147" s="72" t="s">
        <v>466</v>
      </c>
      <c r="E147" s="86"/>
      <c r="F147" s="86"/>
      <c r="G147" s="86"/>
      <c r="H147" s="86"/>
      <c r="I147" s="86"/>
      <c r="J147" s="86"/>
      <c r="K147" s="86"/>
      <c r="L147" s="86"/>
      <c r="M147" s="86"/>
      <c r="N147" s="86"/>
      <c r="O147" s="86">
        <v>-141.48</v>
      </c>
      <c r="P147" s="86"/>
      <c r="Q147" s="86"/>
      <c r="R147" s="86"/>
      <c r="S147" s="2"/>
      <c r="T147" s="2"/>
      <c r="U147" s="2"/>
      <c r="V147" s="2"/>
      <c r="W147" s="2"/>
      <c r="X147" s="2"/>
      <c r="Y147" s="2"/>
      <c r="Z147" s="2"/>
    </row>
    <row r="148">
      <c r="A148" s="71">
        <v>135.0</v>
      </c>
      <c r="B148" s="72" t="s">
        <v>407</v>
      </c>
      <c r="C148" s="73">
        <v>26.0</v>
      </c>
      <c r="D148" s="72" t="s">
        <v>467</v>
      </c>
      <c r="E148" s="86"/>
      <c r="F148" s="86"/>
      <c r="G148" s="86"/>
      <c r="H148" s="86"/>
      <c r="I148" s="86"/>
      <c r="J148" s="86"/>
      <c r="K148" s="86"/>
      <c r="L148" s="86"/>
      <c r="M148" s="86"/>
      <c r="N148" s="86"/>
      <c r="O148" s="86">
        <v>-141.48</v>
      </c>
      <c r="P148" s="86"/>
      <c r="Q148" s="86"/>
      <c r="R148" s="86"/>
      <c r="S148" s="2"/>
      <c r="T148" s="2"/>
      <c r="U148" s="2"/>
      <c r="V148" s="2"/>
      <c r="W148" s="2"/>
      <c r="X148" s="2"/>
      <c r="Y148" s="2"/>
      <c r="Z148" s="2"/>
    </row>
    <row r="149">
      <c r="A149" s="64">
        <v>136.0</v>
      </c>
      <c r="B149" s="72" t="s">
        <v>407</v>
      </c>
      <c r="C149" s="73">
        <v>27.0</v>
      </c>
      <c r="D149" s="72" t="s">
        <v>468</v>
      </c>
      <c r="E149" s="86"/>
      <c r="F149" s="86"/>
      <c r="G149" s="86"/>
      <c r="H149" s="86"/>
      <c r="I149" s="86"/>
      <c r="J149" s="86"/>
      <c r="K149" s="86"/>
      <c r="L149" s="86"/>
      <c r="M149" s="86"/>
      <c r="N149" s="86"/>
      <c r="O149" s="86">
        <v>-141.48</v>
      </c>
      <c r="P149" s="86"/>
      <c r="Q149" s="86"/>
      <c r="R149" s="86"/>
      <c r="S149" s="2"/>
      <c r="T149" s="2"/>
      <c r="U149" s="2"/>
      <c r="V149" s="2"/>
      <c r="W149" s="2"/>
      <c r="X149" s="2"/>
      <c r="Y149" s="2"/>
      <c r="Z149" s="2"/>
    </row>
    <row r="150">
      <c r="A150" s="71">
        <v>137.0</v>
      </c>
      <c r="B150" s="72" t="s">
        <v>407</v>
      </c>
      <c r="C150" s="73">
        <v>28.0</v>
      </c>
      <c r="D150" s="91" t="s">
        <v>172</v>
      </c>
      <c r="E150" s="102"/>
      <c r="F150" s="85">
        <v>-826.93</v>
      </c>
      <c r="G150" s="86">
        <v>-826.93</v>
      </c>
      <c r="H150" s="86">
        <v>-826.93</v>
      </c>
      <c r="I150" s="86">
        <v>-826.93</v>
      </c>
      <c r="J150" s="86">
        <v>-826.93</v>
      </c>
      <c r="K150" s="86">
        <v>-826.93</v>
      </c>
      <c r="L150" s="86">
        <v>-826.93</v>
      </c>
      <c r="M150" s="86">
        <v>-826.93</v>
      </c>
      <c r="N150" s="86">
        <v>-826.93</v>
      </c>
      <c r="O150" s="86">
        <v>-826.93</v>
      </c>
      <c r="P150" s="86">
        <v>-826.93</v>
      </c>
      <c r="Q150" s="86">
        <v>-826.93</v>
      </c>
      <c r="R150" s="86">
        <v>-826.93</v>
      </c>
      <c r="S150" s="2"/>
      <c r="T150" s="2"/>
      <c r="U150" s="2"/>
      <c r="V150" s="2"/>
      <c r="W150" s="2"/>
      <c r="X150" s="2"/>
      <c r="Y150" s="2"/>
      <c r="Z150" s="2"/>
    </row>
    <row r="151">
      <c r="A151" s="71">
        <v>138.0</v>
      </c>
      <c r="B151" s="72" t="s">
        <v>407</v>
      </c>
      <c r="C151" s="73">
        <v>28.0</v>
      </c>
      <c r="D151" s="91" t="s">
        <v>469</v>
      </c>
      <c r="E151" s="102"/>
      <c r="F151" s="85">
        <v>-1902.59</v>
      </c>
      <c r="G151" s="86">
        <v>-1902.59</v>
      </c>
      <c r="H151" s="86">
        <v>-1902.59</v>
      </c>
      <c r="I151" s="86">
        <v>-1902.59</v>
      </c>
      <c r="J151" s="86">
        <v>-1902.59</v>
      </c>
      <c r="K151" s="86">
        <v>-1902.59</v>
      </c>
      <c r="L151" s="86">
        <v>-1902.59</v>
      </c>
      <c r="M151" s="86">
        <v>-1902.59</v>
      </c>
      <c r="N151" s="86">
        <v>-1902.59</v>
      </c>
      <c r="O151" s="86">
        <v>-1902.59</v>
      </c>
      <c r="P151" s="86">
        <v>-1902.59</v>
      </c>
      <c r="Q151" s="86">
        <v>-1902.59</v>
      </c>
      <c r="R151" s="86">
        <v>-1902.59</v>
      </c>
      <c r="S151" s="2"/>
      <c r="T151" s="2"/>
      <c r="U151" s="2"/>
      <c r="V151" s="2"/>
      <c r="W151" s="2"/>
      <c r="X151" s="2"/>
      <c r="Y151" s="2"/>
      <c r="Z151" s="2"/>
    </row>
    <row r="152">
      <c r="A152" s="64">
        <v>139.0</v>
      </c>
      <c r="B152" s="72" t="s">
        <v>407</v>
      </c>
      <c r="C152" s="73">
        <v>28.0</v>
      </c>
      <c r="D152" s="72" t="s">
        <v>47</v>
      </c>
      <c r="E152" s="102"/>
      <c r="F152" s="85">
        <v>-341.68</v>
      </c>
      <c r="G152" s="86">
        <v>-351.71</v>
      </c>
      <c r="H152" s="86">
        <v>-351.71</v>
      </c>
      <c r="I152" s="86">
        <v>-351.71</v>
      </c>
      <c r="J152" s="86">
        <v>-351.71</v>
      </c>
      <c r="K152" s="86">
        <v>-351.71</v>
      </c>
      <c r="L152" s="86">
        <v>-351.71</v>
      </c>
      <c r="M152" s="86">
        <v>-351.71</v>
      </c>
      <c r="N152" s="86">
        <v>-351.71</v>
      </c>
      <c r="O152" s="86">
        <v>-351.71</v>
      </c>
      <c r="P152" s="86">
        <v>-351.71</v>
      </c>
      <c r="Q152" s="86">
        <v>-351.71</v>
      </c>
      <c r="R152" s="86">
        <v>-351.71</v>
      </c>
      <c r="S152" s="2"/>
      <c r="T152" s="2"/>
      <c r="U152" s="2"/>
      <c r="V152" s="2"/>
      <c r="W152" s="2"/>
      <c r="X152" s="2"/>
      <c r="Y152" s="2"/>
      <c r="Z152" s="2"/>
    </row>
    <row r="153">
      <c r="A153" s="71">
        <v>140.0</v>
      </c>
      <c r="B153" s="72" t="s">
        <v>407</v>
      </c>
      <c r="C153" s="73">
        <v>28.0</v>
      </c>
      <c r="D153" s="72" t="s">
        <v>470</v>
      </c>
      <c r="E153" s="86"/>
      <c r="F153" s="86"/>
      <c r="G153" s="86"/>
      <c r="H153" s="86"/>
      <c r="I153" s="86"/>
      <c r="J153" s="86"/>
      <c r="K153" s="86"/>
      <c r="L153" s="86"/>
      <c r="M153" s="86"/>
      <c r="N153" s="86"/>
      <c r="O153" s="86">
        <v>-56.48</v>
      </c>
      <c r="P153" s="86"/>
      <c r="Q153" s="86"/>
      <c r="R153" s="86"/>
      <c r="S153" s="2"/>
      <c r="T153" s="2"/>
      <c r="U153" s="2"/>
      <c r="V153" s="2"/>
      <c r="W153" s="2"/>
      <c r="X153" s="2"/>
      <c r="Y153" s="2"/>
      <c r="Z153" s="2"/>
    </row>
    <row r="154">
      <c r="A154" s="71">
        <v>141.0</v>
      </c>
      <c r="B154" s="72" t="s">
        <v>407</v>
      </c>
      <c r="C154" s="73">
        <v>28.0</v>
      </c>
      <c r="D154" s="72" t="s">
        <v>471</v>
      </c>
      <c r="E154" s="2"/>
      <c r="F154" s="2"/>
      <c r="G154" s="97"/>
      <c r="H154" s="101"/>
      <c r="I154" s="2"/>
      <c r="J154" s="2"/>
      <c r="K154" s="2"/>
      <c r="L154" s="2"/>
      <c r="M154" s="2"/>
      <c r="N154" s="2"/>
      <c r="O154" s="86">
        <v>-186.0</v>
      </c>
      <c r="P154" s="2"/>
      <c r="Q154" s="2"/>
      <c r="R154" s="2"/>
      <c r="S154" s="2"/>
      <c r="T154" s="2"/>
      <c r="U154" s="2"/>
      <c r="V154" s="2"/>
      <c r="W154" s="2"/>
      <c r="X154" s="2"/>
      <c r="Y154" s="2"/>
      <c r="Z154" s="2"/>
    </row>
    <row r="155">
      <c r="A155" s="71">
        <v>143.0</v>
      </c>
      <c r="B155" s="72" t="s">
        <v>407</v>
      </c>
      <c r="C155" s="73">
        <v>29.0</v>
      </c>
      <c r="D155" s="91" t="s">
        <v>472</v>
      </c>
      <c r="E155" s="102"/>
      <c r="F155" s="85">
        <v>-20.41</v>
      </c>
      <c r="G155" s="86">
        <v>-20.41</v>
      </c>
      <c r="H155" s="86">
        <v>-20.41</v>
      </c>
      <c r="I155" s="86">
        <v>-20.41</v>
      </c>
      <c r="J155" s="86">
        <v>-20.41</v>
      </c>
      <c r="K155" s="86">
        <v>-20.41</v>
      </c>
      <c r="L155" s="86">
        <v>-20.41</v>
      </c>
      <c r="M155" s="86">
        <v>-20.41</v>
      </c>
      <c r="N155" s="86">
        <v>-20.41</v>
      </c>
      <c r="O155" s="86">
        <v>-20.41</v>
      </c>
      <c r="P155" s="86">
        <v>-20.41</v>
      </c>
      <c r="Q155" s="86">
        <v>-20.41</v>
      </c>
      <c r="R155" s="86">
        <v>-20.41</v>
      </c>
      <c r="S155" s="2"/>
      <c r="T155" s="2"/>
      <c r="U155" s="2"/>
      <c r="V155" s="2"/>
      <c r="W155" s="2"/>
      <c r="X155" s="2"/>
      <c r="Y155" s="2"/>
      <c r="Z155" s="2"/>
    </row>
    <row r="156">
      <c r="A156" s="71">
        <v>144.0</v>
      </c>
      <c r="B156" s="72" t="s">
        <v>407</v>
      </c>
      <c r="C156" s="73">
        <v>29.0</v>
      </c>
      <c r="D156" s="72" t="s">
        <v>473</v>
      </c>
      <c r="E156" s="86"/>
      <c r="F156" s="86"/>
      <c r="G156" s="86"/>
      <c r="H156" s="86"/>
      <c r="I156" s="86"/>
      <c r="J156" s="86"/>
      <c r="K156" s="86"/>
      <c r="L156" s="86"/>
      <c r="M156" s="86"/>
      <c r="N156" s="86"/>
      <c r="O156" s="86">
        <v>-56.48</v>
      </c>
      <c r="P156" s="86"/>
      <c r="Q156" s="86"/>
      <c r="R156" s="86"/>
      <c r="S156" s="2"/>
      <c r="T156" s="2"/>
      <c r="U156" s="2"/>
      <c r="V156" s="2"/>
      <c r="W156" s="2"/>
      <c r="X156" s="2"/>
      <c r="Y156" s="2"/>
      <c r="Z156" s="2"/>
    </row>
    <row r="157">
      <c r="A157" s="64">
        <v>145.0</v>
      </c>
      <c r="B157" s="72" t="s">
        <v>407</v>
      </c>
      <c r="C157" s="73">
        <v>29.0</v>
      </c>
      <c r="D157" s="72" t="s">
        <v>474</v>
      </c>
      <c r="E157" s="86"/>
      <c r="F157" s="86"/>
      <c r="G157" s="86"/>
      <c r="H157" s="86"/>
      <c r="I157" s="86"/>
      <c r="J157" s="86"/>
      <c r="K157" s="86"/>
      <c r="L157" s="86"/>
      <c r="M157" s="86"/>
      <c r="N157" s="86"/>
      <c r="O157" s="86">
        <v>-56.48</v>
      </c>
      <c r="P157" s="86"/>
      <c r="Q157" s="86"/>
      <c r="R157" s="86"/>
      <c r="S157" s="2"/>
      <c r="T157" s="2"/>
      <c r="U157" s="2"/>
      <c r="V157" s="2"/>
      <c r="W157" s="2"/>
      <c r="X157" s="2"/>
      <c r="Y157" s="2"/>
      <c r="Z157" s="2"/>
    </row>
    <row r="158">
      <c r="A158" s="71">
        <v>146.0</v>
      </c>
      <c r="B158" s="72" t="s">
        <v>407</v>
      </c>
      <c r="C158" s="73">
        <v>30.0</v>
      </c>
      <c r="D158" s="72" t="s">
        <v>475</v>
      </c>
      <c r="E158" s="102"/>
      <c r="F158" s="85">
        <v>-250.0</v>
      </c>
      <c r="G158" s="86">
        <v>-250.0</v>
      </c>
      <c r="H158" s="86">
        <v>-250.0</v>
      </c>
      <c r="I158" s="86">
        <v>-250.0</v>
      </c>
      <c r="J158" s="86"/>
      <c r="K158" s="2"/>
      <c r="L158" s="2"/>
      <c r="M158" s="2"/>
      <c r="N158" s="2"/>
      <c r="O158" s="2"/>
      <c r="P158" s="2"/>
      <c r="Q158" s="86">
        <v>-250.0</v>
      </c>
      <c r="R158" s="86">
        <v>-250.0</v>
      </c>
      <c r="S158" s="2"/>
      <c r="T158" s="2"/>
      <c r="U158" s="2"/>
      <c r="V158" s="2"/>
      <c r="W158" s="2"/>
      <c r="X158" s="2"/>
      <c r="Y158" s="2"/>
      <c r="Z158" s="2"/>
    </row>
    <row r="159">
      <c r="A159" s="71">
        <v>147.0</v>
      </c>
      <c r="B159" s="72" t="s">
        <v>407</v>
      </c>
      <c r="C159" s="73">
        <v>30.0</v>
      </c>
      <c r="D159" s="72" t="s">
        <v>476</v>
      </c>
      <c r="E159" s="102"/>
      <c r="F159" s="85">
        <v>-250.0</v>
      </c>
      <c r="G159" s="86">
        <v>-250.0</v>
      </c>
      <c r="H159" s="86">
        <v>-250.0</v>
      </c>
      <c r="I159" s="86">
        <v>-250.0</v>
      </c>
      <c r="J159" s="86"/>
      <c r="K159" s="2"/>
      <c r="L159" s="2"/>
      <c r="M159" s="2"/>
      <c r="N159" s="2"/>
      <c r="O159" s="2"/>
      <c r="P159" s="2"/>
      <c r="Q159" s="86">
        <v>-250.0</v>
      </c>
      <c r="R159" s="86">
        <v>-250.0</v>
      </c>
      <c r="S159" s="2"/>
      <c r="T159" s="2"/>
      <c r="U159" s="2"/>
      <c r="V159" s="2"/>
      <c r="W159" s="2"/>
      <c r="X159" s="2"/>
      <c r="Y159" s="2"/>
      <c r="Z159" s="2"/>
    </row>
    <row r="160">
      <c r="A160" s="64">
        <v>148.0</v>
      </c>
      <c r="B160" s="72" t="s">
        <v>407</v>
      </c>
      <c r="C160" s="73">
        <v>30.0</v>
      </c>
      <c r="D160" s="72" t="s">
        <v>477</v>
      </c>
      <c r="E160" s="102"/>
      <c r="F160" s="85">
        <v>-625.0</v>
      </c>
      <c r="G160" s="86">
        <v>-625.0</v>
      </c>
      <c r="H160" s="86"/>
      <c r="I160" s="86"/>
      <c r="J160" s="86">
        <v>-625.0</v>
      </c>
      <c r="K160" s="2"/>
      <c r="L160" s="2"/>
      <c r="M160" s="86"/>
      <c r="N160" s="2"/>
      <c r="O160" s="2"/>
      <c r="P160" s="86"/>
      <c r="Q160" s="86"/>
      <c r="R160" s="86"/>
      <c r="S160" s="2"/>
      <c r="T160" s="2"/>
      <c r="U160" s="2"/>
      <c r="V160" s="2"/>
      <c r="W160" s="2"/>
      <c r="X160" s="2"/>
      <c r="Y160" s="2"/>
      <c r="Z160" s="2"/>
    </row>
    <row r="161">
      <c r="A161" s="64">
        <v>34.0</v>
      </c>
      <c r="B161" s="72" t="s">
        <v>407</v>
      </c>
      <c r="C161" s="73">
        <v>31.0</v>
      </c>
      <c r="D161" s="72" t="s">
        <v>478</v>
      </c>
      <c r="E161" s="102"/>
      <c r="F161" s="85">
        <v>-570.96</v>
      </c>
      <c r="G161" s="86">
        <v>-543.99</v>
      </c>
      <c r="H161" s="86">
        <v>-543.99</v>
      </c>
      <c r="I161" s="86">
        <v>-543.99</v>
      </c>
      <c r="J161" s="86">
        <v>-543.99</v>
      </c>
      <c r="K161" s="86">
        <v>-543.99</v>
      </c>
      <c r="L161" s="86">
        <v>-543.99</v>
      </c>
      <c r="M161" s="86">
        <v>-543.99</v>
      </c>
      <c r="N161" s="86">
        <v>-543.99</v>
      </c>
      <c r="O161" s="86">
        <v>-543.99</v>
      </c>
      <c r="P161" s="86">
        <v>-543.99</v>
      </c>
      <c r="Q161" s="86">
        <v>-543.99</v>
      </c>
      <c r="R161" s="86">
        <v>-543.99</v>
      </c>
      <c r="S161" s="2"/>
      <c r="T161" s="2"/>
      <c r="U161" s="2"/>
      <c r="V161" s="2"/>
      <c r="W161" s="2"/>
      <c r="X161" s="2"/>
      <c r="Y161" s="2"/>
      <c r="Z161" s="2"/>
    </row>
    <row r="162">
      <c r="A162" s="71">
        <v>35.0</v>
      </c>
      <c r="B162" s="72" t="s">
        <v>407</v>
      </c>
      <c r="C162" s="73">
        <v>31.0</v>
      </c>
      <c r="D162" s="72" t="s">
        <v>479</v>
      </c>
      <c r="E162" s="102"/>
      <c r="F162" s="85">
        <v>-501.76</v>
      </c>
      <c r="G162" s="86">
        <v>-527.58</v>
      </c>
      <c r="H162" s="86">
        <v>-527.58</v>
      </c>
      <c r="I162" s="86">
        <v>-527.58</v>
      </c>
      <c r="J162" s="86">
        <v>-527.58</v>
      </c>
      <c r="K162" s="86">
        <v>-527.58</v>
      </c>
      <c r="L162" s="86">
        <v>-527.58</v>
      </c>
      <c r="M162" s="86">
        <v>-527.58</v>
      </c>
      <c r="N162" s="86">
        <v>-527.58</v>
      </c>
      <c r="O162" s="86">
        <v>-527.58</v>
      </c>
      <c r="P162" s="86">
        <v>-527.58</v>
      </c>
      <c r="Q162" s="86">
        <v>-527.58</v>
      </c>
      <c r="R162" s="86">
        <v>-527.58</v>
      </c>
      <c r="S162" s="2"/>
      <c r="T162" s="2"/>
      <c r="U162" s="2"/>
      <c r="V162" s="2"/>
      <c r="W162" s="2"/>
      <c r="X162" s="2"/>
      <c r="Y162" s="2"/>
      <c r="Z162" s="2"/>
    </row>
    <row r="163">
      <c r="A163" s="71">
        <v>149.0</v>
      </c>
      <c r="B163" s="72" t="s">
        <v>407</v>
      </c>
      <c r="C163" s="73">
        <v>31.0</v>
      </c>
      <c r="D163" s="91" t="s">
        <v>480</v>
      </c>
      <c r="E163" s="102"/>
      <c r="F163" s="85">
        <f>-100-1027.36</f>
        <v>-1127.36</v>
      </c>
      <c r="G163" s="86">
        <v>-1027.36</v>
      </c>
      <c r="H163" s="86">
        <v>-1027.36</v>
      </c>
      <c r="I163" s="86">
        <v>-1027.36</v>
      </c>
      <c r="J163" s="86">
        <v>-1027.36</v>
      </c>
      <c r="K163" s="86">
        <v>-1027.36</v>
      </c>
      <c r="L163" s="86">
        <v>-1027.36</v>
      </c>
      <c r="M163" s="86">
        <v>-1027.36</v>
      </c>
      <c r="N163" s="86">
        <v>-1027.36</v>
      </c>
      <c r="O163" s="86">
        <v>-1027.36</v>
      </c>
      <c r="P163" s="86">
        <v>-1027.36</v>
      </c>
      <c r="Q163" s="86">
        <v>-1027.36</v>
      </c>
      <c r="R163" s="86">
        <v>-1027.36</v>
      </c>
      <c r="S163" s="2"/>
      <c r="T163" s="2"/>
      <c r="U163" s="2"/>
      <c r="V163" s="2"/>
      <c r="W163" s="2"/>
      <c r="X163" s="2"/>
      <c r="Y163" s="2"/>
      <c r="Z163" s="2"/>
    </row>
    <row r="164">
      <c r="A164" s="71"/>
      <c r="B164" s="72" t="s">
        <v>443</v>
      </c>
      <c r="C164" s="103" t="s">
        <v>178</v>
      </c>
      <c r="D164" s="93" t="s">
        <v>481</v>
      </c>
      <c r="E164" s="102"/>
      <c r="F164" s="85">
        <v>-500.0</v>
      </c>
      <c r="G164" s="86"/>
      <c r="H164" s="86"/>
      <c r="I164" s="86"/>
      <c r="J164" s="86"/>
      <c r="K164" s="86"/>
      <c r="L164" s="86">
        <v>-500.0</v>
      </c>
      <c r="M164" s="86"/>
      <c r="N164" s="86"/>
      <c r="O164" s="86"/>
      <c r="P164" s="86"/>
      <c r="Q164" s="86"/>
      <c r="R164" s="86">
        <v>-500.0</v>
      </c>
      <c r="S164" s="2"/>
      <c r="T164" s="2"/>
      <c r="U164" s="2"/>
      <c r="V164" s="2"/>
      <c r="W164" s="2"/>
      <c r="X164" s="2"/>
      <c r="Y164" s="2"/>
      <c r="Z164" s="2"/>
    </row>
    <row r="165">
      <c r="A165" s="71"/>
      <c r="B165" s="91" t="s">
        <v>446</v>
      </c>
      <c r="C165" s="95" t="s">
        <v>178</v>
      </c>
      <c r="D165" s="72" t="s">
        <v>142</v>
      </c>
      <c r="E165" s="102"/>
      <c r="F165" s="85">
        <v>-228.0</v>
      </c>
      <c r="G165" s="86"/>
      <c r="H165" s="86"/>
      <c r="I165" s="86"/>
      <c r="J165" s="86"/>
      <c r="K165" s="86"/>
      <c r="L165" s="86"/>
      <c r="M165" s="86"/>
      <c r="N165" s="86"/>
      <c r="O165" s="86"/>
      <c r="P165" s="86"/>
      <c r="Q165" s="86"/>
      <c r="R165" s="86"/>
      <c r="S165" s="2"/>
      <c r="T165" s="2"/>
      <c r="U165" s="2"/>
      <c r="V165" s="2"/>
      <c r="W165" s="2"/>
      <c r="X165" s="2"/>
      <c r="Y165" s="2"/>
      <c r="Z165" s="2"/>
    </row>
    <row r="166">
      <c r="A166" s="64">
        <v>163.0</v>
      </c>
      <c r="B166" s="72" t="s">
        <v>443</v>
      </c>
      <c r="C166" s="95" t="s">
        <v>178</v>
      </c>
      <c r="D166" s="72" t="s">
        <v>482</v>
      </c>
      <c r="E166" s="102"/>
      <c r="F166" s="104"/>
      <c r="G166" s="105"/>
      <c r="H166" s="101"/>
      <c r="I166" s="2"/>
      <c r="J166" s="2"/>
      <c r="K166" s="2"/>
      <c r="L166" s="2"/>
      <c r="M166" s="72"/>
      <c r="N166" s="2"/>
      <c r="O166" s="2"/>
      <c r="P166" s="2"/>
      <c r="Q166" s="86">
        <v>-24.99</v>
      </c>
      <c r="R166" s="86">
        <v>-24.99</v>
      </c>
      <c r="S166" s="2"/>
      <c r="T166" s="2"/>
      <c r="U166" s="2"/>
      <c r="V166" s="2"/>
      <c r="W166" s="2"/>
      <c r="X166" s="2"/>
      <c r="Y166" s="2"/>
      <c r="Z166" s="2"/>
    </row>
    <row r="167">
      <c r="A167" s="71">
        <v>153.0</v>
      </c>
      <c r="B167" s="93" t="s">
        <v>443</v>
      </c>
      <c r="C167" s="103" t="s">
        <v>178</v>
      </c>
      <c r="D167" s="93" t="s">
        <v>483</v>
      </c>
      <c r="E167" s="102"/>
      <c r="F167" s="106"/>
      <c r="G167" s="105"/>
      <c r="H167" s="101"/>
      <c r="I167" s="2"/>
      <c r="J167" s="2"/>
      <c r="K167" s="2"/>
      <c r="L167" s="2"/>
      <c r="M167" s="72"/>
      <c r="N167" s="2"/>
      <c r="O167" s="2"/>
      <c r="P167" s="2"/>
      <c r="Q167" s="86">
        <v>-22.79</v>
      </c>
      <c r="R167" s="86">
        <v>-22.79</v>
      </c>
      <c r="S167" s="2"/>
      <c r="T167" s="2"/>
      <c r="U167" s="2"/>
      <c r="V167" s="2"/>
      <c r="W167" s="2"/>
      <c r="X167" s="2"/>
      <c r="Y167" s="2"/>
      <c r="Z167" s="2"/>
    </row>
    <row r="168">
      <c r="A168" s="71">
        <v>167.0</v>
      </c>
      <c r="B168" s="72" t="s">
        <v>443</v>
      </c>
      <c r="C168" s="95" t="s">
        <v>178</v>
      </c>
      <c r="D168" s="72" t="s">
        <v>484</v>
      </c>
      <c r="E168" s="2"/>
      <c r="F168" s="2"/>
      <c r="G168" s="107"/>
      <c r="H168" s="101"/>
      <c r="I168" s="2"/>
      <c r="J168" s="2"/>
      <c r="K168" s="2"/>
      <c r="L168" s="2"/>
      <c r="M168" s="72"/>
      <c r="N168" s="2"/>
      <c r="O168" s="2"/>
      <c r="P168" s="2"/>
      <c r="Q168" s="86">
        <v>-50.0</v>
      </c>
      <c r="R168" s="86">
        <v>-50.0</v>
      </c>
      <c r="S168" s="2"/>
      <c r="T168" s="2"/>
      <c r="U168" s="2"/>
      <c r="V168" s="2"/>
      <c r="W168" s="2"/>
      <c r="X168" s="2"/>
      <c r="Y168" s="2"/>
      <c r="Z168" s="2"/>
    </row>
    <row r="169">
      <c r="A169" s="71">
        <v>158.0</v>
      </c>
      <c r="B169" s="72" t="s">
        <v>446</v>
      </c>
      <c r="C169" s="95" t="s">
        <v>178</v>
      </c>
      <c r="D169" s="72" t="s">
        <v>485</v>
      </c>
      <c r="E169" s="2"/>
      <c r="F169" s="2"/>
      <c r="G169" s="105"/>
      <c r="H169" s="108"/>
      <c r="I169" s="1"/>
      <c r="J169" s="1"/>
      <c r="K169" s="1"/>
      <c r="L169" s="1"/>
      <c r="M169" s="109"/>
      <c r="N169" s="1"/>
      <c r="O169" s="1"/>
      <c r="P169" s="1"/>
      <c r="Q169" s="1"/>
      <c r="R169" s="2"/>
      <c r="S169" s="2"/>
      <c r="T169" s="2"/>
      <c r="U169" s="2"/>
      <c r="V169" s="2"/>
      <c r="W169" s="2"/>
      <c r="X169" s="2"/>
      <c r="Y169" s="2"/>
      <c r="Z169" s="2"/>
    </row>
    <row r="170">
      <c r="A170" s="64">
        <v>157.0</v>
      </c>
      <c r="B170" s="72" t="s">
        <v>443</v>
      </c>
      <c r="C170" s="95" t="s">
        <v>178</v>
      </c>
      <c r="D170" s="72" t="s">
        <v>486</v>
      </c>
      <c r="E170" s="2"/>
      <c r="F170" s="2"/>
      <c r="G170" s="107"/>
      <c r="H170" s="110"/>
      <c r="I170" s="109">
        <v>-70.0</v>
      </c>
      <c r="J170" s="109">
        <v>-70.0</v>
      </c>
      <c r="K170" s="1"/>
      <c r="L170" s="1"/>
      <c r="M170" s="1"/>
      <c r="N170" s="1"/>
      <c r="O170" s="1"/>
      <c r="P170" s="1"/>
      <c r="Q170" s="1"/>
      <c r="R170" s="2"/>
      <c r="S170" s="2"/>
      <c r="T170" s="2"/>
      <c r="U170" s="2"/>
      <c r="V170" s="2"/>
      <c r="W170" s="2"/>
      <c r="X170" s="2"/>
      <c r="Y170" s="2"/>
      <c r="Z170" s="2"/>
    </row>
    <row r="171">
      <c r="A171" s="71">
        <v>156.0</v>
      </c>
      <c r="B171" s="72" t="s">
        <v>443</v>
      </c>
      <c r="C171" s="95" t="s">
        <v>178</v>
      </c>
      <c r="D171" s="72" t="s">
        <v>487</v>
      </c>
      <c r="E171" s="2"/>
      <c r="F171" s="2"/>
      <c r="G171" s="107"/>
      <c r="H171" s="110"/>
      <c r="I171" s="109">
        <v>-40.0</v>
      </c>
      <c r="J171" s="1"/>
      <c r="K171" s="1"/>
      <c r="L171" s="1"/>
      <c r="M171" s="109">
        <v>-120.0</v>
      </c>
      <c r="N171" s="1"/>
      <c r="O171" s="1"/>
      <c r="P171" s="1"/>
      <c r="Q171" s="1"/>
      <c r="R171" s="2"/>
      <c r="S171" s="2"/>
      <c r="T171" s="2"/>
      <c r="U171" s="2"/>
      <c r="V171" s="2"/>
      <c r="W171" s="2"/>
      <c r="X171" s="2"/>
      <c r="Y171" s="2"/>
      <c r="Z171" s="2"/>
    </row>
    <row r="172">
      <c r="A172" s="71">
        <v>155.0</v>
      </c>
      <c r="B172" s="72" t="s">
        <v>443</v>
      </c>
      <c r="C172" s="95" t="s">
        <v>178</v>
      </c>
      <c r="D172" s="72" t="s">
        <v>488</v>
      </c>
      <c r="E172" s="2"/>
      <c r="F172" s="2"/>
      <c r="G172" s="107"/>
      <c r="H172" s="110"/>
      <c r="I172" s="1"/>
      <c r="J172" s="109">
        <v>-40.0</v>
      </c>
      <c r="K172" s="1"/>
      <c r="L172" s="1"/>
      <c r="M172" s="109">
        <v>-120.0</v>
      </c>
      <c r="N172" s="1"/>
      <c r="O172" s="1"/>
      <c r="P172" s="1"/>
      <c r="Q172" s="1"/>
      <c r="R172" s="2"/>
      <c r="S172" s="2"/>
      <c r="T172" s="2"/>
      <c r="U172" s="2"/>
      <c r="V172" s="2"/>
      <c r="W172" s="2"/>
      <c r="X172" s="2"/>
      <c r="Y172" s="2"/>
      <c r="Z172" s="2"/>
    </row>
    <row r="173">
      <c r="A173" s="64">
        <v>154.0</v>
      </c>
      <c r="B173" s="72" t="s">
        <v>443</v>
      </c>
      <c r="C173" s="95" t="s">
        <v>178</v>
      </c>
      <c r="D173" s="72" t="s">
        <v>489</v>
      </c>
      <c r="E173" s="2"/>
      <c r="F173" s="2"/>
      <c r="G173" s="105"/>
      <c r="H173" s="111"/>
      <c r="I173" s="86">
        <v>-200.0</v>
      </c>
      <c r="J173" s="1"/>
      <c r="K173" s="1"/>
      <c r="L173" s="1"/>
      <c r="M173" s="1"/>
      <c r="N173" s="1"/>
      <c r="O173" s="1"/>
      <c r="P173" s="1"/>
      <c r="Q173" s="1"/>
      <c r="R173" s="2"/>
      <c r="S173" s="2"/>
      <c r="T173" s="2"/>
      <c r="U173" s="2"/>
      <c r="V173" s="2"/>
      <c r="W173" s="2"/>
      <c r="X173" s="2"/>
      <c r="Y173" s="2"/>
      <c r="Z173" s="2"/>
    </row>
    <row r="174">
      <c r="A174" s="64">
        <v>151.0</v>
      </c>
      <c r="B174" s="91" t="s">
        <v>446</v>
      </c>
      <c r="C174" s="95" t="s">
        <v>178</v>
      </c>
      <c r="D174" s="72" t="s">
        <v>490</v>
      </c>
      <c r="E174" s="2"/>
      <c r="F174" s="2"/>
      <c r="G174" s="105"/>
      <c r="H174" s="101"/>
      <c r="I174" s="2"/>
      <c r="J174" s="2"/>
      <c r="K174" s="2"/>
      <c r="L174" s="2"/>
      <c r="M174" s="72"/>
      <c r="N174" s="2"/>
      <c r="O174" s="2"/>
      <c r="P174" s="2"/>
      <c r="Q174" s="2"/>
      <c r="R174" s="2"/>
      <c r="S174" s="2"/>
      <c r="T174" s="2"/>
      <c r="U174" s="2"/>
      <c r="V174" s="2"/>
      <c r="W174" s="2"/>
      <c r="X174" s="2"/>
      <c r="Y174" s="2"/>
      <c r="Z174" s="2"/>
    </row>
    <row r="175">
      <c r="A175" s="71">
        <v>168.0</v>
      </c>
      <c r="B175" s="65"/>
      <c r="C175" s="66"/>
      <c r="D175" s="67" t="s">
        <v>205</v>
      </c>
      <c r="E175" s="69"/>
      <c r="F175" s="69">
        <f>SUM(F2:F173)</f>
        <v>16155.3</v>
      </c>
      <c r="G175" s="69">
        <f>SUM(G2:G174)</f>
        <v>3173.65</v>
      </c>
      <c r="H175" s="69">
        <f t="shared" ref="H175:R175" si="6">SUM(H2:H173)</f>
        <v>9432.992</v>
      </c>
      <c r="I175" s="69">
        <f t="shared" si="6"/>
        <v>15550.604</v>
      </c>
      <c r="J175" s="69">
        <f t="shared" si="6"/>
        <v>21839.086</v>
      </c>
      <c r="K175" s="69">
        <f t="shared" si="6"/>
        <v>28360.638</v>
      </c>
      <c r="L175" s="69">
        <f t="shared" si="6"/>
        <v>34670.42</v>
      </c>
      <c r="M175" s="69">
        <f t="shared" si="6"/>
        <v>41416.952</v>
      </c>
      <c r="N175" s="69">
        <f t="shared" si="6"/>
        <v>48288.264</v>
      </c>
      <c r="O175" s="69">
        <f t="shared" si="6"/>
        <v>54425.696</v>
      </c>
      <c r="P175" s="69">
        <f t="shared" si="6"/>
        <v>61450.838</v>
      </c>
      <c r="Q175" s="69">
        <f t="shared" si="6"/>
        <v>67795.87</v>
      </c>
      <c r="R175" s="69">
        <f t="shared" si="6"/>
        <v>73641.772</v>
      </c>
      <c r="S175" s="70"/>
      <c r="T175" s="70"/>
      <c r="U175" s="70"/>
      <c r="V175" s="70"/>
      <c r="W175" s="70"/>
      <c r="X175" s="70"/>
      <c r="Y175" s="70"/>
      <c r="Z175" s="70"/>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4.0"/>
    <col customWidth="1" min="2" max="2" width="12.63"/>
    <col customWidth="1" min="3" max="3" width="4.88"/>
    <col customWidth="1" min="4" max="4" width="6.5"/>
    <col customWidth="1" min="5" max="5" width="6.38"/>
    <col customWidth="1" min="6" max="6" width="50.13"/>
    <col customWidth="1" min="7" max="7" width="40.75"/>
    <col customWidth="1" min="8" max="8" width="11.13"/>
    <col customWidth="1" min="9" max="13" width="0.38"/>
    <col customWidth="1" min="14" max="14" width="12.5"/>
    <col customWidth="1" min="15" max="23" width="10.75"/>
    <col customWidth="1" min="26" max="26" width="16.5"/>
  </cols>
  <sheetData>
    <row r="1">
      <c r="A1" s="62" t="s">
        <v>3</v>
      </c>
      <c r="B1" s="62" t="s">
        <v>400</v>
      </c>
      <c r="C1" s="62" t="s">
        <v>401</v>
      </c>
      <c r="D1" s="62" t="s">
        <v>491</v>
      </c>
      <c r="E1" s="62" t="s">
        <v>0</v>
      </c>
      <c r="F1" s="62" t="s">
        <v>402</v>
      </c>
      <c r="G1" s="112" t="s">
        <v>492</v>
      </c>
      <c r="H1" s="112" t="s">
        <v>493</v>
      </c>
      <c r="I1" s="63">
        <v>45931.0</v>
      </c>
      <c r="J1" s="63">
        <f t="shared" ref="J1:W1" si="1">I1+31</f>
        <v>45962</v>
      </c>
      <c r="K1" s="63">
        <f t="shared" si="1"/>
        <v>45993</v>
      </c>
      <c r="L1" s="63">
        <f t="shared" si="1"/>
        <v>46024</v>
      </c>
      <c r="M1" s="63">
        <f t="shared" si="1"/>
        <v>46055</v>
      </c>
      <c r="N1" s="63">
        <f t="shared" si="1"/>
        <v>46086</v>
      </c>
      <c r="O1" s="63">
        <f t="shared" si="1"/>
        <v>46117</v>
      </c>
      <c r="P1" s="63">
        <f t="shared" si="1"/>
        <v>46148</v>
      </c>
      <c r="Q1" s="63">
        <f t="shared" si="1"/>
        <v>46179</v>
      </c>
      <c r="R1" s="63">
        <f t="shared" si="1"/>
        <v>46210</v>
      </c>
      <c r="S1" s="63">
        <f t="shared" si="1"/>
        <v>46241</v>
      </c>
      <c r="T1" s="63">
        <f t="shared" si="1"/>
        <v>46272</v>
      </c>
      <c r="U1" s="63">
        <f t="shared" si="1"/>
        <v>46303</v>
      </c>
      <c r="V1" s="63">
        <f t="shared" si="1"/>
        <v>46334</v>
      </c>
      <c r="W1" s="63">
        <f t="shared" si="1"/>
        <v>46365</v>
      </c>
      <c r="X1" s="2"/>
      <c r="Y1" s="2"/>
      <c r="Z1" s="2"/>
      <c r="AA1" s="2"/>
      <c r="AB1" s="2"/>
      <c r="AC1" s="2"/>
    </row>
    <row r="2">
      <c r="A2" s="113">
        <v>1.0</v>
      </c>
      <c r="B2" s="95" t="s">
        <v>178</v>
      </c>
      <c r="C2" s="95" t="s">
        <v>178</v>
      </c>
      <c r="D2" s="114" t="s">
        <v>192</v>
      </c>
      <c r="E2" s="115" t="s">
        <v>178</v>
      </c>
      <c r="F2" s="67" t="s">
        <v>194</v>
      </c>
      <c r="G2" s="67"/>
      <c r="H2" s="68"/>
      <c r="I2" s="68">
        <f>33582.44+37.36</f>
        <v>33619.8</v>
      </c>
      <c r="J2" s="69">
        <f t="shared" ref="J2:W2" si="2">I188</f>
        <v>3989.72</v>
      </c>
      <c r="K2" s="69">
        <f t="shared" si="2"/>
        <v>2225.45</v>
      </c>
      <c r="L2" s="69">
        <f t="shared" si="2"/>
        <v>1793.772</v>
      </c>
      <c r="M2" s="69">
        <f t="shared" si="2"/>
        <v>1572.994</v>
      </c>
      <c r="N2" s="69">
        <f t="shared" si="2"/>
        <v>375.996</v>
      </c>
      <c r="O2" s="69">
        <f t="shared" si="2"/>
        <v>-5749.382</v>
      </c>
      <c r="P2" s="69">
        <f t="shared" si="2"/>
        <v>5125.6195</v>
      </c>
      <c r="Q2" s="69">
        <f t="shared" si="2"/>
        <v>10566.621</v>
      </c>
      <c r="R2" s="69">
        <f t="shared" si="2"/>
        <v>16787.8825</v>
      </c>
      <c r="S2" s="69">
        <f t="shared" si="2"/>
        <v>22877.884</v>
      </c>
      <c r="T2" s="69">
        <f t="shared" si="2"/>
        <v>29447.8855</v>
      </c>
      <c r="U2" s="69">
        <f t="shared" si="2"/>
        <v>35015.147</v>
      </c>
      <c r="V2" s="69">
        <f t="shared" si="2"/>
        <v>41670.1485</v>
      </c>
      <c r="W2" s="69">
        <f t="shared" si="2"/>
        <v>48686.15</v>
      </c>
      <c r="X2" s="70"/>
      <c r="Y2" s="70"/>
      <c r="Z2" s="70"/>
      <c r="AA2" s="70"/>
      <c r="AB2" s="70"/>
      <c r="AC2" s="70"/>
    </row>
    <row r="3">
      <c r="A3" s="113">
        <v>2.0</v>
      </c>
      <c r="B3" s="73" t="s">
        <v>443</v>
      </c>
      <c r="C3" s="95" t="s">
        <v>178</v>
      </c>
      <c r="D3" s="116" t="s">
        <v>12</v>
      </c>
      <c r="E3" s="116">
        <v>200.0</v>
      </c>
      <c r="F3" s="74" t="s">
        <v>494</v>
      </c>
      <c r="G3" s="74" t="s">
        <v>58</v>
      </c>
      <c r="H3" s="75" t="s">
        <v>495</v>
      </c>
      <c r="I3" s="55">
        <f>-625-650-675-675-675-875-1170-675+675+650+675+675+1170+675+675</f>
        <v>-825</v>
      </c>
      <c r="J3" s="55">
        <f>-675-650-675-675-1170-675-675+675+675+675+650+675+725+1170+700+675</f>
        <v>1425</v>
      </c>
      <c r="K3" s="55">
        <f>-675-650-675-675-675-725-1170-700-675+650+675+65.32+675+675+725+1170+675+675+675+675</f>
        <v>715.32</v>
      </c>
      <c r="L3" s="55">
        <f>-650-675-675-675-725-1170-675-675-675-675+675+675+675+650+675+725+675+1170</f>
        <v>-1350</v>
      </c>
      <c r="M3" s="55">
        <f>-650-675-675-675-675-725-675-1170+675+650+675+675+1170+725+675+609.67+675</f>
        <v>609.67</v>
      </c>
      <c r="N3" s="55">
        <f>-675-650-675-675-1170-725-675-609.67-675</f>
        <v>-6529.67</v>
      </c>
      <c r="O3" s="55"/>
      <c r="P3" s="55"/>
      <c r="Q3" s="55"/>
      <c r="R3" s="55"/>
      <c r="S3" s="55"/>
      <c r="T3" s="55"/>
      <c r="U3" s="55"/>
      <c r="V3" s="55"/>
      <c r="W3" s="55"/>
      <c r="X3" s="2"/>
      <c r="Y3" s="2"/>
      <c r="Z3" s="2"/>
      <c r="AA3" s="2"/>
      <c r="AB3" s="2"/>
      <c r="AC3" s="2"/>
    </row>
    <row r="4">
      <c r="A4" s="113">
        <v>3.0</v>
      </c>
      <c r="B4" s="73" t="s">
        <v>443</v>
      </c>
      <c r="C4" s="95" t="s">
        <v>178</v>
      </c>
      <c r="D4" s="117" t="s">
        <v>43</v>
      </c>
      <c r="E4" s="117">
        <v>351.0</v>
      </c>
      <c r="F4" s="76" t="s">
        <v>496</v>
      </c>
      <c r="G4" s="76" t="s">
        <v>200</v>
      </c>
      <c r="H4" s="77"/>
      <c r="I4" s="78">
        <f>-17.95-17.95-17.95</f>
        <v>-53.85</v>
      </c>
      <c r="J4" s="78">
        <v>0.0</v>
      </c>
      <c r="K4" s="78">
        <v>-17.95</v>
      </c>
      <c r="L4" s="78">
        <v>-17.95</v>
      </c>
      <c r="M4" s="78">
        <v>0.0</v>
      </c>
      <c r="N4" s="78">
        <v>-17.95</v>
      </c>
      <c r="O4" s="78">
        <v>-17.95</v>
      </c>
      <c r="P4" s="78">
        <v>-17.95</v>
      </c>
      <c r="Q4" s="78">
        <f>2*-17.95</f>
        <v>-35.9</v>
      </c>
      <c r="R4" s="78">
        <v>-17.95</v>
      </c>
      <c r="S4" s="78">
        <v>-17.95</v>
      </c>
      <c r="T4" s="78">
        <f>2*-17.95</f>
        <v>-35.9</v>
      </c>
      <c r="U4" s="78">
        <v>-17.95</v>
      </c>
      <c r="V4" s="78">
        <v>-17.95</v>
      </c>
      <c r="W4" s="78">
        <v>-17.95</v>
      </c>
      <c r="X4" s="2"/>
      <c r="Y4" s="2"/>
      <c r="Z4" s="2"/>
      <c r="AA4" s="2"/>
      <c r="AB4" s="2"/>
      <c r="AC4" s="2"/>
    </row>
    <row r="5">
      <c r="A5" s="113">
        <v>4.0</v>
      </c>
      <c r="B5" s="73" t="s">
        <v>443</v>
      </c>
      <c r="C5" s="95" t="s">
        <v>178</v>
      </c>
      <c r="D5" s="117" t="s">
        <v>12</v>
      </c>
      <c r="E5" s="117">
        <v>802.0</v>
      </c>
      <c r="F5" s="76" t="s">
        <v>185</v>
      </c>
      <c r="G5" s="76" t="s">
        <v>184</v>
      </c>
      <c r="H5" s="77"/>
      <c r="I5" s="78">
        <f>600+100+100+625+575-620-260.39-612-326.61</f>
        <v>181</v>
      </c>
      <c r="J5" s="78">
        <v>0.0</v>
      </c>
      <c r="K5" s="78">
        <f>100+100+575</f>
        <v>775</v>
      </c>
      <c r="L5" s="78">
        <f>-587-587+575-505+100</f>
        <v>-1004</v>
      </c>
      <c r="M5" s="78">
        <f>-100-587-18+100+100</f>
        <v>-505</v>
      </c>
      <c r="N5" s="78">
        <v>600.0</v>
      </c>
      <c r="O5" s="78"/>
      <c r="P5" s="78"/>
      <c r="Q5" s="78"/>
      <c r="R5" s="78"/>
      <c r="S5" s="78"/>
      <c r="T5" s="78"/>
      <c r="U5" s="78"/>
      <c r="V5" s="78"/>
      <c r="W5" s="78"/>
      <c r="X5" s="2"/>
      <c r="Y5" s="2"/>
      <c r="Z5" s="2"/>
      <c r="AA5" s="2"/>
      <c r="AB5" s="2"/>
      <c r="AC5" s="2"/>
    </row>
    <row r="6">
      <c r="A6" s="113">
        <v>5.0</v>
      </c>
      <c r="B6" s="73" t="s">
        <v>443</v>
      </c>
      <c r="C6" s="95" t="s">
        <v>178</v>
      </c>
      <c r="D6" s="117" t="s">
        <v>12</v>
      </c>
      <c r="E6" s="117">
        <v>350.0</v>
      </c>
      <c r="F6" s="76" t="s">
        <v>180</v>
      </c>
      <c r="G6" s="76" t="s">
        <v>140</v>
      </c>
      <c r="H6" s="77"/>
      <c r="I6" s="78">
        <f>-45.58-22.79-22.79</f>
        <v>-91.16</v>
      </c>
      <c r="J6" s="78">
        <v>0.0</v>
      </c>
      <c r="K6" s="78">
        <v>-22.79</v>
      </c>
      <c r="L6" s="78">
        <v>-45.58</v>
      </c>
      <c r="M6" s="78">
        <v>-45.58</v>
      </c>
      <c r="N6" s="78"/>
      <c r="O6" s="78">
        <v>-22.79</v>
      </c>
      <c r="P6" s="78">
        <v>-22.79</v>
      </c>
      <c r="Q6" s="78">
        <f>-22.79*2</f>
        <v>-45.58</v>
      </c>
      <c r="R6" s="78">
        <v>-22.79</v>
      </c>
      <c r="S6" s="78">
        <v>-22.79</v>
      </c>
      <c r="T6" s="78">
        <f>-22.79*2</f>
        <v>-45.58</v>
      </c>
      <c r="U6" s="78">
        <v>-22.79</v>
      </c>
      <c r="V6" s="78">
        <v>-22.79</v>
      </c>
      <c r="W6" s="78">
        <v>-22.79</v>
      </c>
      <c r="X6" s="2"/>
      <c r="Y6" s="2"/>
      <c r="Z6" s="2"/>
      <c r="AA6" s="2"/>
      <c r="AB6" s="2"/>
      <c r="AC6" s="2"/>
    </row>
    <row r="7">
      <c r="A7" s="113">
        <v>6.0</v>
      </c>
      <c r="B7" s="73" t="s">
        <v>443</v>
      </c>
      <c r="C7" s="95" t="s">
        <v>178</v>
      </c>
      <c r="D7" s="117" t="s">
        <v>12</v>
      </c>
      <c r="E7" s="117">
        <v>325.0</v>
      </c>
      <c r="F7" s="76" t="s">
        <v>181</v>
      </c>
      <c r="G7" s="76" t="s">
        <v>497</v>
      </c>
      <c r="H7" s="77"/>
      <c r="I7" s="78">
        <f>-55-55-96.25</f>
        <v>-206.25</v>
      </c>
      <c r="J7" s="78">
        <v>0.0</v>
      </c>
      <c r="K7" s="78">
        <v>-70.0</v>
      </c>
      <c r="L7" s="78">
        <f>-69.5-70</f>
        <v>-139.5</v>
      </c>
      <c r="M7" s="78">
        <v>-63.0</v>
      </c>
      <c r="N7" s="78"/>
      <c r="O7" s="78"/>
      <c r="P7" s="78"/>
      <c r="Q7" s="78"/>
      <c r="R7" s="78"/>
      <c r="S7" s="78"/>
      <c r="T7" s="78"/>
      <c r="U7" s="78"/>
      <c r="V7" s="78"/>
      <c r="W7" s="78"/>
      <c r="X7" s="2"/>
      <c r="Y7" s="2"/>
      <c r="Z7" s="2"/>
      <c r="AA7" s="2"/>
      <c r="AB7" s="2"/>
      <c r="AC7" s="2"/>
    </row>
    <row r="8">
      <c r="A8" s="113">
        <v>7.0</v>
      </c>
      <c r="B8" s="73" t="s">
        <v>443</v>
      </c>
      <c r="C8" s="95" t="s">
        <v>178</v>
      </c>
      <c r="D8" s="117" t="s">
        <v>43</v>
      </c>
      <c r="E8" s="117">
        <v>360.0</v>
      </c>
      <c r="F8" s="76" t="s">
        <v>199</v>
      </c>
      <c r="G8" s="76" t="s">
        <v>198</v>
      </c>
      <c r="H8" s="77"/>
      <c r="I8" s="78">
        <v>-19.0</v>
      </c>
      <c r="J8" s="78">
        <f>-20-28</f>
        <v>-48</v>
      </c>
      <c r="K8" s="78">
        <f>-29-20-10-28</f>
        <v>-87</v>
      </c>
      <c r="L8" s="78">
        <f>-20-19-20-25.2</f>
        <v>-84.2</v>
      </c>
      <c r="M8" s="78">
        <f>-20-19-19-25.2</f>
        <v>-83.2</v>
      </c>
      <c r="N8" s="78"/>
      <c r="O8" s="78">
        <v>-50.0</v>
      </c>
      <c r="P8" s="78">
        <v>-50.0</v>
      </c>
      <c r="Q8" s="78">
        <f t="shared" ref="Q8:Q9" si="3">2*-50</f>
        <v>-100</v>
      </c>
      <c r="R8" s="78">
        <v>-50.0</v>
      </c>
      <c r="S8" s="78">
        <v>-50.0</v>
      </c>
      <c r="T8" s="78">
        <f t="shared" ref="T8:T9" si="4">2*-50</f>
        <v>-100</v>
      </c>
      <c r="U8" s="78">
        <v>-50.0</v>
      </c>
      <c r="V8" s="78">
        <v>-50.0</v>
      </c>
      <c r="W8" s="78">
        <v>-50.0</v>
      </c>
      <c r="X8" s="2"/>
      <c r="Y8" s="2"/>
      <c r="Z8" s="2"/>
      <c r="AA8" s="2"/>
      <c r="AB8" s="2"/>
      <c r="AC8" s="2"/>
    </row>
    <row r="9">
      <c r="A9" s="113">
        <v>7.0</v>
      </c>
      <c r="B9" s="73" t="s">
        <v>443</v>
      </c>
      <c r="C9" s="95" t="s">
        <v>178</v>
      </c>
      <c r="D9" s="117" t="s">
        <v>12</v>
      </c>
      <c r="E9" s="117">
        <v>329.0</v>
      </c>
      <c r="F9" s="76" t="s">
        <v>183</v>
      </c>
      <c r="G9" s="76" t="s">
        <v>498</v>
      </c>
      <c r="H9" s="77"/>
      <c r="I9" s="78">
        <v>-380.0</v>
      </c>
      <c r="J9" s="78">
        <v>0.0</v>
      </c>
      <c r="K9" s="78">
        <v>-46.8</v>
      </c>
      <c r="L9" s="78">
        <v>-46.8</v>
      </c>
      <c r="M9" s="78">
        <f>-40-190-46.8</f>
        <v>-276.8</v>
      </c>
      <c r="N9" s="78"/>
      <c r="O9" s="78">
        <v>-50.0</v>
      </c>
      <c r="P9" s="78">
        <v>-50.0</v>
      </c>
      <c r="Q9" s="78">
        <f t="shared" si="3"/>
        <v>-100</v>
      </c>
      <c r="R9" s="78">
        <v>-50.0</v>
      </c>
      <c r="S9" s="78">
        <v>-50.0</v>
      </c>
      <c r="T9" s="78">
        <f t="shared" si="4"/>
        <v>-100</v>
      </c>
      <c r="U9" s="78">
        <v>-50.0</v>
      </c>
      <c r="V9" s="78">
        <v>-50.0</v>
      </c>
      <c r="W9" s="78">
        <v>-50.0</v>
      </c>
      <c r="X9" s="2"/>
      <c r="Y9" s="2"/>
      <c r="Z9" s="2"/>
      <c r="AA9" s="2"/>
      <c r="AB9" s="2"/>
      <c r="AC9" s="2"/>
    </row>
    <row r="10">
      <c r="A10" s="113">
        <v>8.0</v>
      </c>
      <c r="B10" s="73" t="s">
        <v>443</v>
      </c>
      <c r="C10" s="95" t="s">
        <v>178</v>
      </c>
      <c r="D10" s="118" t="s">
        <v>12</v>
      </c>
      <c r="E10" s="118">
        <v>835.0</v>
      </c>
      <c r="F10" s="79" t="s">
        <v>187</v>
      </c>
      <c r="G10" s="79" t="s">
        <v>499</v>
      </c>
      <c r="H10" s="80"/>
      <c r="I10" s="81">
        <f>-3547.79-540.38-500-9.46-436.27</f>
        <v>-5033.9</v>
      </c>
      <c r="J10" s="81">
        <f>-1056.77-530.72-300-718.93-441.44-669.69+669.69</f>
        <v>-3047.86</v>
      </c>
      <c r="K10" s="81">
        <f>-1059.48-176.9-36.98-199.47-83.59-359.26-500-1501.43-395.98</f>
        <v>-4313.09</v>
      </c>
      <c r="L10" s="81">
        <f>-241.5-1659.73-500-2463.39-1659.35</f>
        <v>-6523.97</v>
      </c>
      <c r="M10" s="81">
        <f>-1680.67-3046.98-200-2149.58-2859.98</f>
        <v>-9937.21</v>
      </c>
      <c r="N10" s="81">
        <f>-1700.75-220.45-2424.37-4011.2-792.98-50</f>
        <v>-9199.75</v>
      </c>
      <c r="O10" s="81">
        <v>-3000.0</v>
      </c>
      <c r="P10" s="81">
        <v>-3000.0</v>
      </c>
      <c r="Q10" s="81">
        <v>-3000.0</v>
      </c>
      <c r="R10" s="81">
        <v>-3000.0</v>
      </c>
      <c r="S10" s="81">
        <v>-3000.0</v>
      </c>
      <c r="T10" s="81">
        <v>-3000.0</v>
      </c>
      <c r="U10" s="81">
        <v>-3000.0</v>
      </c>
      <c r="V10" s="81">
        <v>-3000.0</v>
      </c>
      <c r="W10" s="81">
        <v>-3000.0</v>
      </c>
      <c r="X10" s="2"/>
      <c r="Y10" s="2"/>
      <c r="Z10" s="2"/>
      <c r="AA10" s="2"/>
      <c r="AB10" s="2"/>
      <c r="AC10" s="2"/>
    </row>
    <row r="11">
      <c r="A11" s="113">
        <v>9.0</v>
      </c>
      <c r="B11" s="73" t="s">
        <v>443</v>
      </c>
      <c r="C11" s="95" t="s">
        <v>178</v>
      </c>
      <c r="D11" s="118" t="s">
        <v>192</v>
      </c>
      <c r="E11" s="118">
        <v>892.0</v>
      </c>
      <c r="F11" s="79" t="s">
        <v>203</v>
      </c>
      <c r="G11" s="79" t="s">
        <v>202</v>
      </c>
      <c r="H11" s="82"/>
      <c r="I11" s="81">
        <f>100-100+100-100</f>
        <v>0</v>
      </c>
      <c r="J11" s="81">
        <v>-1282.76</v>
      </c>
      <c r="K11" s="81">
        <f>1282.76+100-100</f>
        <v>1282.76</v>
      </c>
      <c r="L11" s="81">
        <f>100-100</f>
        <v>0</v>
      </c>
      <c r="M11" s="81">
        <f>-13.23-100+100</f>
        <v>-13.23</v>
      </c>
      <c r="N11" s="81"/>
      <c r="O11" s="81"/>
      <c r="P11" s="81"/>
      <c r="Q11" s="81"/>
      <c r="R11" s="81"/>
      <c r="S11" s="81"/>
      <c r="T11" s="81"/>
      <c r="U11" s="81"/>
      <c r="V11" s="81"/>
      <c r="W11" s="81"/>
      <c r="X11" s="2"/>
      <c r="Y11" s="2"/>
      <c r="Z11" s="2"/>
      <c r="AA11" s="2"/>
      <c r="AB11" s="2"/>
      <c r="AC11" s="2"/>
    </row>
    <row r="12">
      <c r="A12" s="113">
        <v>10.0</v>
      </c>
      <c r="B12" s="73" t="s">
        <v>446</v>
      </c>
      <c r="C12" s="95" t="s">
        <v>178</v>
      </c>
      <c r="D12" s="66" t="s">
        <v>12</v>
      </c>
      <c r="E12" s="66">
        <v>653.0</v>
      </c>
      <c r="F12" s="65" t="s">
        <v>191</v>
      </c>
      <c r="G12" s="65" t="s">
        <v>190</v>
      </c>
      <c r="H12" s="84"/>
      <c r="I12" s="86">
        <v>-31500.0</v>
      </c>
      <c r="J12" s="86">
        <f t="shared" ref="J12:K12" si="5">(-45000-(45000*(0.05/2))+31500)/2</f>
        <v>-7312.5</v>
      </c>
      <c r="K12" s="86">
        <f t="shared" si="5"/>
        <v>-7312.5</v>
      </c>
      <c r="L12" s="86">
        <v>0.0</v>
      </c>
      <c r="M12" s="86">
        <v>0.0</v>
      </c>
      <c r="N12" s="86">
        <v>0.0</v>
      </c>
      <c r="O12" s="86">
        <v>0.0</v>
      </c>
      <c r="P12" s="86">
        <v>0.0</v>
      </c>
      <c r="Q12" s="86">
        <v>0.0</v>
      </c>
      <c r="R12" s="86">
        <v>0.0</v>
      </c>
      <c r="S12" s="86">
        <v>0.0</v>
      </c>
      <c r="T12" s="86">
        <v>0.0</v>
      </c>
      <c r="U12" s="86">
        <v>0.0</v>
      </c>
      <c r="V12" s="86">
        <v>0.0</v>
      </c>
      <c r="W12" s="86">
        <v>0.0</v>
      </c>
      <c r="X12" s="2"/>
      <c r="Y12" s="2"/>
      <c r="Z12" s="2"/>
      <c r="AA12" s="2"/>
      <c r="AB12" s="2"/>
      <c r="AC12" s="2"/>
    </row>
    <row r="13">
      <c r="A13" s="113">
        <v>11.0</v>
      </c>
      <c r="B13" s="73" t="s">
        <v>446</v>
      </c>
      <c r="C13" s="95" t="s">
        <v>178</v>
      </c>
      <c r="D13" s="66" t="s">
        <v>12</v>
      </c>
      <c r="E13" s="66">
        <v>409.0</v>
      </c>
      <c r="F13" s="65" t="s">
        <v>500</v>
      </c>
      <c r="G13" s="65" t="s">
        <v>406</v>
      </c>
      <c r="H13" s="84"/>
      <c r="I13" s="86">
        <v>0.0</v>
      </c>
      <c r="J13" s="86">
        <v>0.0</v>
      </c>
      <c r="K13" s="119">
        <v>65.51</v>
      </c>
      <c r="L13" s="119">
        <f>-46.2-58.08</f>
        <v>-104.28</v>
      </c>
      <c r="M13" s="119">
        <v>-0.01</v>
      </c>
      <c r="N13" s="119">
        <v>-71.32</v>
      </c>
      <c r="O13" s="86">
        <v>0.0</v>
      </c>
      <c r="P13" s="86">
        <v>0.0</v>
      </c>
      <c r="Q13" s="86">
        <v>0.0</v>
      </c>
      <c r="R13" s="86">
        <v>0.0</v>
      </c>
      <c r="S13" s="86">
        <v>0.0</v>
      </c>
      <c r="T13" s="86">
        <v>0.0</v>
      </c>
      <c r="U13" s="86">
        <v>0.0</v>
      </c>
      <c r="V13" s="86">
        <v>0.0</v>
      </c>
      <c r="W13" s="86">
        <v>0.0</v>
      </c>
      <c r="X13" s="2"/>
      <c r="Y13" s="2"/>
      <c r="Z13" s="2"/>
      <c r="AA13" s="2"/>
      <c r="AB13" s="2"/>
      <c r="AC13" s="2"/>
    </row>
    <row r="14">
      <c r="A14" s="113">
        <v>32.0</v>
      </c>
      <c r="B14" s="73" t="s">
        <v>407</v>
      </c>
      <c r="C14" s="73">
        <v>1.0</v>
      </c>
      <c r="D14" s="73" t="s">
        <v>12</v>
      </c>
      <c r="E14" s="73">
        <v>200.0</v>
      </c>
      <c r="F14" s="72" t="s">
        <v>59</v>
      </c>
      <c r="G14" s="72" t="s">
        <v>58</v>
      </c>
      <c r="H14" s="84" t="s">
        <v>495</v>
      </c>
      <c r="I14" s="86">
        <v>650.0</v>
      </c>
      <c r="J14" s="86">
        <v>675.0</v>
      </c>
      <c r="K14" s="86">
        <v>675.0</v>
      </c>
      <c r="L14" s="86">
        <v>675.0</v>
      </c>
      <c r="M14" s="86">
        <v>675.0</v>
      </c>
      <c r="N14" s="86">
        <v>675.0</v>
      </c>
      <c r="O14" s="86">
        <v>675.0</v>
      </c>
      <c r="P14" s="86">
        <v>675.0</v>
      </c>
      <c r="Q14" s="86">
        <v>675.0</v>
      </c>
      <c r="R14" s="86">
        <v>675.0</v>
      </c>
      <c r="S14" s="86">
        <v>675.0</v>
      </c>
      <c r="T14" s="86">
        <v>675.0</v>
      </c>
      <c r="U14" s="86">
        <v>675.0</v>
      </c>
      <c r="V14" s="86">
        <v>675.0</v>
      </c>
      <c r="W14" s="86">
        <v>675.0</v>
      </c>
      <c r="X14" s="2"/>
      <c r="Y14" s="2"/>
      <c r="Z14" s="2"/>
      <c r="AA14" s="2"/>
      <c r="AB14" s="2"/>
      <c r="AC14" s="2"/>
    </row>
    <row r="15">
      <c r="A15" s="113">
        <v>33.0</v>
      </c>
      <c r="B15" s="73" t="s">
        <v>407</v>
      </c>
      <c r="C15" s="73">
        <v>1.0</v>
      </c>
      <c r="D15" s="73" t="s">
        <v>12</v>
      </c>
      <c r="E15" s="73">
        <v>200.0</v>
      </c>
      <c r="F15" s="72" t="s">
        <v>60</v>
      </c>
      <c r="G15" s="72" t="s">
        <v>58</v>
      </c>
      <c r="H15" s="84" t="s">
        <v>404</v>
      </c>
      <c r="I15" s="86">
        <v>675.0</v>
      </c>
      <c r="J15" s="86">
        <v>675.0</v>
      </c>
      <c r="K15" s="86">
        <v>675.0</v>
      </c>
      <c r="L15" s="86">
        <v>675.0</v>
      </c>
      <c r="M15" s="86">
        <v>675.0</v>
      </c>
      <c r="N15" s="86">
        <v>675.0</v>
      </c>
      <c r="O15" s="86">
        <v>675.0</v>
      </c>
      <c r="P15" s="86">
        <v>675.0</v>
      </c>
      <c r="Q15" s="86">
        <v>675.0</v>
      </c>
      <c r="R15" s="86">
        <v>675.0</v>
      </c>
      <c r="S15" s="86">
        <v>675.0</v>
      </c>
      <c r="T15" s="86">
        <v>675.0</v>
      </c>
      <c r="U15" s="86">
        <v>675.0</v>
      </c>
      <c r="V15" s="86">
        <v>675.0</v>
      </c>
      <c r="W15" s="86">
        <v>675.0</v>
      </c>
      <c r="X15" s="2"/>
      <c r="Y15" s="2"/>
      <c r="Z15" s="2"/>
      <c r="AA15" s="2"/>
      <c r="AB15" s="2"/>
      <c r="AC15" s="2"/>
    </row>
    <row r="16">
      <c r="A16" s="113">
        <v>34.0</v>
      </c>
      <c r="B16" s="73" t="s">
        <v>407</v>
      </c>
      <c r="C16" s="73">
        <v>1.0</v>
      </c>
      <c r="D16" s="73" t="s">
        <v>12</v>
      </c>
      <c r="E16" s="73">
        <v>200.0</v>
      </c>
      <c r="F16" s="72" t="s">
        <v>61</v>
      </c>
      <c r="G16" s="72" t="s">
        <v>58</v>
      </c>
      <c r="H16" s="84" t="s">
        <v>404</v>
      </c>
      <c r="I16" s="86">
        <v>675.0</v>
      </c>
      <c r="J16" s="86">
        <v>675.0</v>
      </c>
      <c r="K16" s="86">
        <v>675.0</v>
      </c>
      <c r="L16" s="86">
        <v>675.0</v>
      </c>
      <c r="M16" s="86">
        <v>675.0</v>
      </c>
      <c r="N16" s="86">
        <v>675.0</v>
      </c>
      <c r="O16" s="86">
        <v>675.0</v>
      </c>
      <c r="P16" s="86">
        <v>675.0</v>
      </c>
      <c r="Q16" s="86">
        <v>675.0</v>
      </c>
      <c r="R16" s="86">
        <v>675.0</v>
      </c>
      <c r="S16" s="86">
        <v>675.0</v>
      </c>
      <c r="T16" s="86">
        <v>675.0</v>
      </c>
      <c r="U16" s="86">
        <v>675.0</v>
      </c>
      <c r="V16" s="86">
        <v>675.0</v>
      </c>
      <c r="W16" s="86">
        <v>675.0</v>
      </c>
      <c r="X16" s="2"/>
      <c r="Y16" s="2"/>
      <c r="Z16" s="2"/>
      <c r="AA16" s="2"/>
      <c r="AB16" s="2"/>
      <c r="AC16" s="2"/>
    </row>
    <row r="17">
      <c r="A17" s="113">
        <v>35.0</v>
      </c>
      <c r="B17" s="73" t="s">
        <v>407</v>
      </c>
      <c r="C17" s="73">
        <v>1.0</v>
      </c>
      <c r="D17" s="73" t="s">
        <v>12</v>
      </c>
      <c r="E17" s="73">
        <v>200.0</v>
      </c>
      <c r="F17" s="72" t="s">
        <v>62</v>
      </c>
      <c r="G17" s="72" t="s">
        <v>58</v>
      </c>
      <c r="H17" s="84" t="s">
        <v>404</v>
      </c>
      <c r="I17" s="86">
        <v>675.0</v>
      </c>
      <c r="J17" s="86">
        <v>675.0</v>
      </c>
      <c r="K17" s="86">
        <v>675.0</v>
      </c>
      <c r="L17" s="86">
        <v>675.0</v>
      </c>
      <c r="M17" s="86">
        <v>675.0</v>
      </c>
      <c r="N17" s="86">
        <v>675.0</v>
      </c>
      <c r="O17" s="86">
        <v>675.0</v>
      </c>
      <c r="P17" s="86">
        <v>675.0</v>
      </c>
      <c r="Q17" s="86">
        <v>675.0</v>
      </c>
      <c r="R17" s="86">
        <v>675.0</v>
      </c>
      <c r="S17" s="86">
        <v>675.0</v>
      </c>
      <c r="T17" s="86">
        <v>675.0</v>
      </c>
      <c r="U17" s="86">
        <v>675.0</v>
      </c>
      <c r="V17" s="86">
        <v>675.0</v>
      </c>
      <c r="W17" s="86">
        <v>675.0</v>
      </c>
      <c r="X17" s="2"/>
      <c r="Y17" s="2"/>
      <c r="Z17" s="2"/>
      <c r="AA17" s="2"/>
      <c r="AB17" s="2"/>
      <c r="AC17" s="2"/>
    </row>
    <row r="18">
      <c r="A18" s="113">
        <v>36.0</v>
      </c>
      <c r="B18" s="73" t="s">
        <v>407</v>
      </c>
      <c r="C18" s="73">
        <v>1.0</v>
      </c>
      <c r="D18" s="73" t="s">
        <v>12</v>
      </c>
      <c r="E18" s="73">
        <v>200.0</v>
      </c>
      <c r="F18" s="72" t="s">
        <v>63</v>
      </c>
      <c r="G18" s="72" t="s">
        <v>58</v>
      </c>
      <c r="H18" s="84" t="s">
        <v>404</v>
      </c>
      <c r="I18" s="86">
        <f>283.06+406.45</f>
        <v>689.51</v>
      </c>
      <c r="J18" s="86">
        <v>700.0</v>
      </c>
      <c r="K18" s="86">
        <v>700.0</v>
      </c>
      <c r="L18" s="86">
        <v>700.0</v>
      </c>
      <c r="M18" s="86">
        <v>700.0</v>
      </c>
      <c r="N18" s="86">
        <v>700.0</v>
      </c>
      <c r="O18" s="86">
        <v>700.0</v>
      </c>
      <c r="P18" s="86">
        <v>700.0</v>
      </c>
      <c r="Q18" s="86">
        <v>700.0</v>
      </c>
      <c r="R18" s="86">
        <v>700.0</v>
      </c>
      <c r="S18" s="86">
        <v>700.0</v>
      </c>
      <c r="T18" s="86">
        <v>700.0</v>
      </c>
      <c r="U18" s="86">
        <v>700.0</v>
      </c>
      <c r="V18" s="86">
        <v>700.0</v>
      </c>
      <c r="W18" s="86">
        <v>700.0</v>
      </c>
      <c r="X18" s="2"/>
      <c r="Y18" s="2"/>
      <c r="Z18" s="2"/>
      <c r="AA18" s="2"/>
      <c r="AB18" s="2"/>
      <c r="AC18" s="2"/>
    </row>
    <row r="19">
      <c r="A19" s="113">
        <v>37.0</v>
      </c>
      <c r="B19" s="73" t="s">
        <v>407</v>
      </c>
      <c r="C19" s="73">
        <v>1.0</v>
      </c>
      <c r="D19" s="73" t="s">
        <v>12</v>
      </c>
      <c r="E19" s="73">
        <v>200.0</v>
      </c>
      <c r="F19" s="72" t="s">
        <v>64</v>
      </c>
      <c r="G19" s="72" t="s">
        <v>58</v>
      </c>
      <c r="H19" s="84" t="s">
        <v>404</v>
      </c>
      <c r="I19" s="88">
        <v>650.0</v>
      </c>
      <c r="J19" s="86">
        <v>700.0</v>
      </c>
      <c r="K19" s="86">
        <v>700.0</v>
      </c>
      <c r="L19" s="86">
        <v>700.0</v>
      </c>
      <c r="M19" s="86">
        <v>700.0</v>
      </c>
      <c r="N19" s="86">
        <v>700.0</v>
      </c>
      <c r="O19" s="86">
        <v>700.0</v>
      </c>
      <c r="P19" s="86">
        <v>700.0</v>
      </c>
      <c r="Q19" s="86">
        <v>700.0</v>
      </c>
      <c r="R19" s="86">
        <v>700.0</v>
      </c>
      <c r="S19" s="86">
        <v>700.0</v>
      </c>
      <c r="T19" s="86">
        <v>700.0</v>
      </c>
      <c r="U19" s="86">
        <v>700.0</v>
      </c>
      <c r="V19" s="86">
        <v>700.0</v>
      </c>
      <c r="W19" s="86">
        <v>700.0</v>
      </c>
      <c r="X19" s="2"/>
      <c r="Y19" s="2"/>
      <c r="Z19" s="2"/>
      <c r="AA19" s="2"/>
      <c r="AB19" s="2"/>
      <c r="AC19" s="2"/>
    </row>
    <row r="20">
      <c r="A20" s="113">
        <v>38.0</v>
      </c>
      <c r="B20" s="73" t="s">
        <v>407</v>
      </c>
      <c r="C20" s="73">
        <v>1.0</v>
      </c>
      <c r="D20" s="73" t="s">
        <v>12</v>
      </c>
      <c r="E20" s="73">
        <v>200.0</v>
      </c>
      <c r="F20" s="72" t="s">
        <v>65</v>
      </c>
      <c r="G20" s="72" t="s">
        <v>58</v>
      </c>
      <c r="H20" s="84" t="s">
        <v>495</v>
      </c>
      <c r="I20" s="86">
        <v>675.0</v>
      </c>
      <c r="J20" s="86">
        <v>675.0</v>
      </c>
      <c r="K20" s="86">
        <v>675.0</v>
      </c>
      <c r="L20" s="86">
        <v>675.0</v>
      </c>
      <c r="M20" s="86">
        <v>675.0</v>
      </c>
      <c r="N20" s="86">
        <v>675.0</v>
      </c>
      <c r="O20" s="86">
        <v>675.0</v>
      </c>
      <c r="P20" s="86">
        <v>675.0</v>
      </c>
      <c r="Q20" s="86">
        <v>675.0</v>
      </c>
      <c r="R20" s="86">
        <v>675.0</v>
      </c>
      <c r="S20" s="86">
        <v>675.0</v>
      </c>
      <c r="T20" s="86">
        <v>675.0</v>
      </c>
      <c r="U20" s="86">
        <v>675.0</v>
      </c>
      <c r="V20" s="86">
        <v>675.0</v>
      </c>
      <c r="W20" s="86">
        <v>675.0</v>
      </c>
      <c r="X20" s="2"/>
      <c r="Y20" s="2"/>
      <c r="Z20" s="2"/>
      <c r="AA20" s="2"/>
      <c r="AB20" s="2"/>
      <c r="AC20" s="2"/>
    </row>
    <row r="21">
      <c r="A21" s="113">
        <v>39.0</v>
      </c>
      <c r="B21" s="73" t="s">
        <v>407</v>
      </c>
      <c r="C21" s="73">
        <v>1.0</v>
      </c>
      <c r="D21" s="73" t="s">
        <v>12</v>
      </c>
      <c r="E21" s="73">
        <v>200.0</v>
      </c>
      <c r="F21" s="72" t="s">
        <v>66</v>
      </c>
      <c r="G21" s="72" t="s">
        <v>58</v>
      </c>
      <c r="H21" s="84" t="s">
        <v>495</v>
      </c>
      <c r="I21" s="88">
        <v>625.0</v>
      </c>
      <c r="J21" s="86">
        <v>650.0</v>
      </c>
      <c r="K21" s="86">
        <v>650.0</v>
      </c>
      <c r="L21" s="86">
        <v>650.0</v>
      </c>
      <c r="M21" s="86">
        <v>650.0</v>
      </c>
      <c r="N21" s="86">
        <v>650.0</v>
      </c>
      <c r="O21" s="86">
        <v>650.0</v>
      </c>
      <c r="P21" s="86">
        <v>650.0</v>
      </c>
      <c r="Q21" s="86">
        <v>650.0</v>
      </c>
      <c r="R21" s="86">
        <v>650.0</v>
      </c>
      <c r="S21" s="86">
        <v>650.0</v>
      </c>
      <c r="T21" s="86">
        <v>650.0</v>
      </c>
      <c r="U21" s="86">
        <v>650.0</v>
      </c>
      <c r="V21" s="86">
        <v>650.0</v>
      </c>
      <c r="W21" s="86">
        <v>650.0</v>
      </c>
      <c r="X21" s="2"/>
      <c r="Y21" s="2"/>
      <c r="Z21" s="2"/>
      <c r="AA21" s="2"/>
      <c r="AB21" s="2"/>
      <c r="AC21" s="2"/>
    </row>
    <row r="22">
      <c r="A22" s="113">
        <v>40.0</v>
      </c>
      <c r="B22" s="73" t="s">
        <v>407</v>
      </c>
      <c r="C22" s="73">
        <v>1.0</v>
      </c>
      <c r="D22" s="73" t="s">
        <v>12</v>
      </c>
      <c r="E22" s="73">
        <v>200.0</v>
      </c>
      <c r="F22" s="72" t="s">
        <v>67</v>
      </c>
      <c r="G22" s="72" t="s">
        <v>58</v>
      </c>
      <c r="H22" s="84" t="s">
        <v>404</v>
      </c>
      <c r="I22" s="88">
        <v>650.0</v>
      </c>
      <c r="J22" s="88">
        <v>650.0</v>
      </c>
      <c r="K22" s="88">
        <v>650.0</v>
      </c>
      <c r="L22" s="88">
        <v>650.0</v>
      </c>
      <c r="M22" s="88">
        <v>650.0</v>
      </c>
      <c r="N22" s="88">
        <v>650.0</v>
      </c>
      <c r="O22" s="88">
        <v>650.0</v>
      </c>
      <c r="P22" s="88">
        <v>650.0</v>
      </c>
      <c r="Q22" s="88">
        <v>650.0</v>
      </c>
      <c r="R22" s="88">
        <v>650.0</v>
      </c>
      <c r="S22" s="88">
        <v>650.0</v>
      </c>
      <c r="T22" s="88">
        <v>650.0</v>
      </c>
      <c r="U22" s="88">
        <v>650.0</v>
      </c>
      <c r="V22" s="88">
        <v>650.0</v>
      </c>
      <c r="W22" s="88">
        <v>650.0</v>
      </c>
      <c r="X22" s="2"/>
      <c r="Y22" s="2"/>
      <c r="Z22" s="2"/>
      <c r="AA22" s="2"/>
      <c r="AB22" s="2"/>
      <c r="AC22" s="2"/>
    </row>
    <row r="23">
      <c r="A23" s="113">
        <v>41.0</v>
      </c>
      <c r="B23" s="73" t="s">
        <v>407</v>
      </c>
      <c r="C23" s="73">
        <v>1.0</v>
      </c>
      <c r="D23" s="73" t="s">
        <v>12</v>
      </c>
      <c r="E23" s="73">
        <v>200.0</v>
      </c>
      <c r="F23" s="72" t="s">
        <v>68</v>
      </c>
      <c r="G23" s="72" t="s">
        <v>58</v>
      </c>
      <c r="H23" s="84" t="s">
        <v>404</v>
      </c>
      <c r="I23" s="88">
        <v>675.0</v>
      </c>
      <c r="J23" s="86">
        <v>725.0</v>
      </c>
      <c r="K23" s="86">
        <v>725.0</v>
      </c>
      <c r="L23" s="86">
        <v>725.0</v>
      </c>
      <c r="M23" s="86">
        <v>725.0</v>
      </c>
      <c r="N23" s="86">
        <v>725.0</v>
      </c>
      <c r="O23" s="86">
        <v>725.0</v>
      </c>
      <c r="P23" s="86">
        <v>725.0</v>
      </c>
      <c r="Q23" s="86">
        <v>725.0</v>
      </c>
      <c r="R23" s="86">
        <v>725.0</v>
      </c>
      <c r="S23" s="86">
        <v>725.0</v>
      </c>
      <c r="T23" s="86">
        <v>725.0</v>
      </c>
      <c r="U23" s="86">
        <v>725.0</v>
      </c>
      <c r="V23" s="86">
        <v>725.0</v>
      </c>
      <c r="W23" s="86">
        <v>725.0</v>
      </c>
      <c r="X23" s="2"/>
      <c r="Y23" s="2"/>
      <c r="Z23" s="2"/>
      <c r="AA23" s="2"/>
      <c r="AB23" s="2"/>
      <c r="AC23" s="2"/>
    </row>
    <row r="24">
      <c r="A24" s="113">
        <v>42.0</v>
      </c>
      <c r="B24" s="73" t="s">
        <v>407</v>
      </c>
      <c r="C24" s="73">
        <v>1.0</v>
      </c>
      <c r="D24" s="73" t="s">
        <v>12</v>
      </c>
      <c r="E24" s="73">
        <v>200.0</v>
      </c>
      <c r="F24" s="72" t="s">
        <v>69</v>
      </c>
      <c r="G24" s="72" t="s">
        <v>58</v>
      </c>
      <c r="H24" s="120" t="s">
        <v>404</v>
      </c>
      <c r="I24" s="86">
        <v>675.0</v>
      </c>
      <c r="J24" s="86">
        <v>675.0</v>
      </c>
      <c r="K24" s="86">
        <v>675.0</v>
      </c>
      <c r="L24" s="86">
        <f>675+65.32-65.32</f>
        <v>675</v>
      </c>
      <c r="M24" s="86">
        <v>675.0</v>
      </c>
      <c r="N24" s="86">
        <v>675.0</v>
      </c>
      <c r="O24" s="86">
        <v>675.0</v>
      </c>
      <c r="P24" s="86">
        <v>675.0</v>
      </c>
      <c r="Q24" s="86">
        <v>675.0</v>
      </c>
      <c r="R24" s="86">
        <v>675.0</v>
      </c>
      <c r="S24" s="86">
        <v>675.0</v>
      </c>
      <c r="T24" s="86">
        <v>675.0</v>
      </c>
      <c r="U24" s="86">
        <v>675.0</v>
      </c>
      <c r="V24" s="86">
        <v>675.0</v>
      </c>
      <c r="W24" s="86">
        <v>675.0</v>
      </c>
      <c r="X24" s="2"/>
      <c r="Y24" s="2"/>
      <c r="Z24" s="2"/>
      <c r="AA24" s="2"/>
      <c r="AB24" s="2"/>
      <c r="AC24" s="2"/>
    </row>
    <row r="25">
      <c r="A25" s="113">
        <v>43.0</v>
      </c>
      <c r="B25" s="73" t="s">
        <v>407</v>
      </c>
      <c r="C25" s="73">
        <v>1.0</v>
      </c>
      <c r="D25" s="73" t="s">
        <v>12</v>
      </c>
      <c r="E25" s="73">
        <v>200.0</v>
      </c>
      <c r="F25" s="72" t="s">
        <v>70</v>
      </c>
      <c r="G25" s="72" t="s">
        <v>58</v>
      </c>
      <c r="H25" s="84" t="s">
        <v>404</v>
      </c>
      <c r="I25" s="86">
        <v>700.0</v>
      </c>
      <c r="J25" s="86">
        <v>700.0</v>
      </c>
      <c r="K25" s="86">
        <v>700.0</v>
      </c>
      <c r="L25" s="86">
        <v>700.0</v>
      </c>
      <c r="M25" s="86">
        <v>700.0</v>
      </c>
      <c r="N25" s="86">
        <v>700.0</v>
      </c>
      <c r="O25" s="86">
        <v>700.0</v>
      </c>
      <c r="P25" s="86">
        <v>700.0</v>
      </c>
      <c r="Q25" s="86">
        <v>700.0</v>
      </c>
      <c r="R25" s="86">
        <v>700.0</v>
      </c>
      <c r="S25" s="86">
        <v>700.0</v>
      </c>
      <c r="T25" s="86">
        <v>700.0</v>
      </c>
      <c r="U25" s="86">
        <v>700.0</v>
      </c>
      <c r="V25" s="86">
        <v>700.0</v>
      </c>
      <c r="W25" s="86">
        <v>700.0</v>
      </c>
      <c r="X25" s="2"/>
      <c r="Y25" s="2"/>
      <c r="Z25" s="2"/>
      <c r="AA25" s="2"/>
      <c r="AB25" s="2"/>
      <c r="AC25" s="2"/>
    </row>
    <row r="26">
      <c r="A26" s="113">
        <v>44.0</v>
      </c>
      <c r="B26" s="73" t="s">
        <v>407</v>
      </c>
      <c r="C26" s="73">
        <v>1.0</v>
      </c>
      <c r="D26" s="73" t="s">
        <v>12</v>
      </c>
      <c r="E26" s="73">
        <v>200.0</v>
      </c>
      <c r="F26" s="72" t="s">
        <v>71</v>
      </c>
      <c r="G26" s="72" t="s">
        <v>58</v>
      </c>
      <c r="H26" s="84" t="s">
        <v>495</v>
      </c>
      <c r="I26" s="86">
        <f>700+233.87-225.8</f>
        <v>708.07</v>
      </c>
      <c r="J26" s="86">
        <v>725.0</v>
      </c>
      <c r="K26" s="86">
        <v>725.0</v>
      </c>
      <c r="L26" s="86">
        <v>725.0</v>
      </c>
      <c r="M26" s="86">
        <v>725.0</v>
      </c>
      <c r="N26" s="86">
        <v>725.0</v>
      </c>
      <c r="O26" s="86">
        <v>725.0</v>
      </c>
      <c r="P26" s="86">
        <v>725.0</v>
      </c>
      <c r="Q26" s="86">
        <v>725.0</v>
      </c>
      <c r="R26" s="86">
        <v>725.0</v>
      </c>
      <c r="S26" s="86">
        <v>725.0</v>
      </c>
      <c r="T26" s="86">
        <v>725.0</v>
      </c>
      <c r="U26" s="86">
        <v>725.0</v>
      </c>
      <c r="V26" s="86">
        <v>725.0</v>
      </c>
      <c r="W26" s="86">
        <v>725.0</v>
      </c>
      <c r="X26" s="2"/>
      <c r="Y26" s="2"/>
      <c r="Z26" s="2"/>
      <c r="AA26" s="2"/>
      <c r="AB26" s="2"/>
      <c r="AC26" s="2"/>
    </row>
    <row r="27">
      <c r="A27" s="113">
        <v>45.0</v>
      </c>
      <c r="B27" s="73" t="s">
        <v>407</v>
      </c>
      <c r="C27" s="73">
        <v>1.0</v>
      </c>
      <c r="D27" s="73" t="s">
        <v>12</v>
      </c>
      <c r="E27" s="73">
        <v>200.0</v>
      </c>
      <c r="F27" s="72" t="s">
        <v>72</v>
      </c>
      <c r="G27" s="72" t="s">
        <v>58</v>
      </c>
      <c r="H27" s="84" t="s">
        <v>404</v>
      </c>
      <c r="I27" s="86">
        <v>675.0</v>
      </c>
      <c r="J27" s="86">
        <v>675.0</v>
      </c>
      <c r="K27" s="86">
        <v>675.0</v>
      </c>
      <c r="L27" s="86">
        <v>675.0</v>
      </c>
      <c r="M27" s="86">
        <v>675.0</v>
      </c>
      <c r="N27" s="86">
        <v>675.0</v>
      </c>
      <c r="O27" s="86">
        <v>675.0</v>
      </c>
      <c r="P27" s="86">
        <v>675.0</v>
      </c>
      <c r="Q27" s="86">
        <v>675.0</v>
      </c>
      <c r="R27" s="86">
        <v>675.0</v>
      </c>
      <c r="S27" s="86">
        <v>675.0</v>
      </c>
      <c r="T27" s="86">
        <v>675.0</v>
      </c>
      <c r="U27" s="86">
        <v>675.0</v>
      </c>
      <c r="V27" s="86">
        <v>675.0</v>
      </c>
      <c r="W27" s="86">
        <v>675.0</v>
      </c>
      <c r="X27" s="2"/>
      <c r="Y27" s="2"/>
      <c r="Z27" s="2"/>
      <c r="AA27" s="2"/>
      <c r="AB27" s="2"/>
      <c r="AC27" s="2"/>
    </row>
    <row r="28">
      <c r="A28" s="113">
        <v>46.0</v>
      </c>
      <c r="B28" s="73" t="s">
        <v>407</v>
      </c>
      <c r="C28" s="73">
        <v>1.0</v>
      </c>
      <c r="D28" s="73" t="s">
        <v>12</v>
      </c>
      <c r="E28" s="73">
        <v>200.0</v>
      </c>
      <c r="F28" s="72" t="s">
        <v>73</v>
      </c>
      <c r="G28" s="72" t="s">
        <v>58</v>
      </c>
      <c r="H28" s="84" t="s">
        <v>404</v>
      </c>
      <c r="I28" s="86">
        <v>750.0</v>
      </c>
      <c r="J28" s="86">
        <v>750.0</v>
      </c>
      <c r="K28" s="86">
        <v>750.0</v>
      </c>
      <c r="L28" s="86">
        <v>750.0</v>
      </c>
      <c r="M28" s="86">
        <v>750.0</v>
      </c>
      <c r="N28" s="86">
        <v>750.0</v>
      </c>
      <c r="O28" s="86">
        <v>750.0</v>
      </c>
      <c r="P28" s="86">
        <v>750.0</v>
      </c>
      <c r="Q28" s="86">
        <v>750.0</v>
      </c>
      <c r="R28" s="86">
        <v>750.0</v>
      </c>
      <c r="S28" s="86">
        <v>750.0</v>
      </c>
      <c r="T28" s="86">
        <v>750.0</v>
      </c>
      <c r="U28" s="86">
        <v>750.0</v>
      </c>
      <c r="V28" s="86">
        <v>750.0</v>
      </c>
      <c r="W28" s="86">
        <v>750.0</v>
      </c>
      <c r="X28" s="2"/>
      <c r="Y28" s="2"/>
      <c r="Z28" s="2"/>
      <c r="AA28" s="2"/>
      <c r="AB28" s="2"/>
      <c r="AC28" s="2"/>
    </row>
    <row r="29">
      <c r="A29" s="113">
        <v>47.0</v>
      </c>
      <c r="B29" s="73" t="s">
        <v>407</v>
      </c>
      <c r="C29" s="73">
        <v>1.0</v>
      </c>
      <c r="D29" s="73" t="s">
        <v>12</v>
      </c>
      <c r="E29" s="73">
        <v>200.0</v>
      </c>
      <c r="F29" s="72" t="s">
        <v>74</v>
      </c>
      <c r="G29" s="72" t="s">
        <v>58</v>
      </c>
      <c r="H29" s="84" t="s">
        <v>404</v>
      </c>
      <c r="I29" s="86">
        <v>725.0</v>
      </c>
      <c r="J29" s="86">
        <v>725.0</v>
      </c>
      <c r="K29" s="86">
        <v>725.0</v>
      </c>
      <c r="L29" s="86">
        <v>725.0</v>
      </c>
      <c r="M29" s="86">
        <v>725.0</v>
      </c>
      <c r="N29" s="86">
        <v>725.0</v>
      </c>
      <c r="O29" s="86">
        <v>725.0</v>
      </c>
      <c r="P29" s="86">
        <v>725.0</v>
      </c>
      <c r="Q29" s="86">
        <v>725.0</v>
      </c>
      <c r="R29" s="86">
        <v>725.0</v>
      </c>
      <c r="S29" s="86">
        <v>725.0</v>
      </c>
      <c r="T29" s="86">
        <v>725.0</v>
      </c>
      <c r="U29" s="86">
        <v>725.0</v>
      </c>
      <c r="V29" s="86">
        <v>725.0</v>
      </c>
      <c r="W29" s="86">
        <v>725.0</v>
      </c>
      <c r="X29" s="1">
        <f>sum(L14:W54)</f>
        <v>342900.72</v>
      </c>
      <c r="Y29" s="2"/>
      <c r="Z29" s="2"/>
      <c r="AA29" s="2"/>
      <c r="AB29" s="2"/>
      <c r="AC29" s="2"/>
    </row>
    <row r="30">
      <c r="A30" s="113">
        <v>48.0</v>
      </c>
      <c r="B30" s="73" t="s">
        <v>407</v>
      </c>
      <c r="C30" s="73">
        <v>1.0</v>
      </c>
      <c r="D30" s="73" t="s">
        <v>12</v>
      </c>
      <c r="E30" s="73">
        <v>200.0</v>
      </c>
      <c r="F30" s="72" t="s">
        <v>75</v>
      </c>
      <c r="G30" s="72" t="s">
        <v>58</v>
      </c>
      <c r="H30" s="84" t="s">
        <v>404</v>
      </c>
      <c r="I30" s="86">
        <v>0.0</v>
      </c>
      <c r="J30" s="86">
        <v>0.0</v>
      </c>
      <c r="K30" s="86">
        <v>725.0</v>
      </c>
      <c r="L30" s="86">
        <v>725.0</v>
      </c>
      <c r="M30" s="86">
        <v>725.0</v>
      </c>
      <c r="N30" s="86">
        <v>725.0</v>
      </c>
      <c r="O30" s="86">
        <v>725.0</v>
      </c>
      <c r="P30" s="86">
        <v>725.0</v>
      </c>
      <c r="Q30" s="86">
        <v>725.0</v>
      </c>
      <c r="R30" s="86">
        <v>725.0</v>
      </c>
      <c r="S30" s="86">
        <v>725.0</v>
      </c>
      <c r="T30" s="86">
        <v>725.0</v>
      </c>
      <c r="U30" s="86">
        <v>725.0</v>
      </c>
      <c r="V30" s="86">
        <v>725.0</v>
      </c>
      <c r="W30" s="86">
        <v>725.0</v>
      </c>
      <c r="X30" s="72" t="s">
        <v>501</v>
      </c>
      <c r="Y30" s="2"/>
      <c r="Z30" s="2"/>
      <c r="AA30" s="2"/>
      <c r="AB30" s="2"/>
      <c r="AC30" s="2"/>
    </row>
    <row r="31">
      <c r="A31" s="113">
        <v>49.0</v>
      </c>
      <c r="B31" s="73" t="s">
        <v>407</v>
      </c>
      <c r="C31" s="73">
        <v>1.0</v>
      </c>
      <c r="D31" s="73" t="s">
        <v>12</v>
      </c>
      <c r="E31" s="73">
        <v>200.0</v>
      </c>
      <c r="F31" s="72" t="s">
        <v>76</v>
      </c>
      <c r="G31" s="72" t="s">
        <v>58</v>
      </c>
      <c r="H31" s="84" t="s">
        <v>404</v>
      </c>
      <c r="I31" s="86">
        <v>0.0</v>
      </c>
      <c r="J31" s="86">
        <v>675.0</v>
      </c>
      <c r="K31" s="86">
        <v>675.0</v>
      </c>
      <c r="L31" s="86">
        <v>130.64</v>
      </c>
      <c r="M31" s="86">
        <v>0.0</v>
      </c>
      <c r="N31" s="121">
        <v>0.0</v>
      </c>
      <c r="O31" s="86">
        <v>675.0</v>
      </c>
      <c r="P31" s="86">
        <v>675.0</v>
      </c>
      <c r="Q31" s="86">
        <v>675.0</v>
      </c>
      <c r="R31" s="86">
        <v>675.0</v>
      </c>
      <c r="S31" s="86">
        <v>675.0</v>
      </c>
      <c r="T31" s="86">
        <v>675.0</v>
      </c>
      <c r="U31" s="86">
        <v>675.0</v>
      </c>
      <c r="V31" s="86">
        <v>675.0</v>
      </c>
      <c r="W31" s="86">
        <v>675.0</v>
      </c>
      <c r="X31" s="72" t="s">
        <v>502</v>
      </c>
      <c r="Y31" s="2"/>
      <c r="Z31" s="2"/>
      <c r="AA31" s="2"/>
      <c r="AB31" s="2"/>
      <c r="AC31" s="2"/>
    </row>
    <row r="32">
      <c r="A32" s="113">
        <v>50.0</v>
      </c>
      <c r="B32" s="73" t="s">
        <v>407</v>
      </c>
      <c r="C32" s="73">
        <v>1.0</v>
      </c>
      <c r="D32" s="73" t="s">
        <v>12</v>
      </c>
      <c r="E32" s="73">
        <v>200.0</v>
      </c>
      <c r="F32" s="72" t="s">
        <v>77</v>
      </c>
      <c r="G32" s="72" t="s">
        <v>58</v>
      </c>
      <c r="H32" s="84" t="s">
        <v>404</v>
      </c>
      <c r="I32" s="86">
        <v>650.0</v>
      </c>
      <c r="J32" s="86">
        <v>650.0</v>
      </c>
      <c r="K32" s="86">
        <v>650.0</v>
      </c>
      <c r="L32" s="86">
        <v>650.0</v>
      </c>
      <c r="M32" s="86">
        <v>650.0</v>
      </c>
      <c r="N32" s="86">
        <v>650.0</v>
      </c>
      <c r="O32" s="86">
        <v>680.0</v>
      </c>
      <c r="P32" s="86">
        <v>725.0</v>
      </c>
      <c r="Q32" s="86">
        <v>725.0</v>
      </c>
      <c r="R32" s="86">
        <v>725.0</v>
      </c>
      <c r="S32" s="86">
        <v>725.0</v>
      </c>
      <c r="T32" s="86">
        <v>725.0</v>
      </c>
      <c r="U32" s="86">
        <v>725.0</v>
      </c>
      <c r="V32" s="86">
        <v>725.0</v>
      </c>
      <c r="W32" s="86">
        <v>725.0</v>
      </c>
      <c r="X32" s="2"/>
      <c r="Y32" s="2"/>
      <c r="Z32" s="2"/>
      <c r="AA32" s="2"/>
      <c r="AB32" s="2"/>
      <c r="AC32" s="2"/>
    </row>
    <row r="33">
      <c r="A33" s="113">
        <v>51.0</v>
      </c>
      <c r="B33" s="73" t="s">
        <v>407</v>
      </c>
      <c r="C33" s="73">
        <v>1.0</v>
      </c>
      <c r="D33" s="73" t="s">
        <v>12</v>
      </c>
      <c r="E33" s="73">
        <v>200.0</v>
      </c>
      <c r="F33" s="72" t="s">
        <v>78</v>
      </c>
      <c r="G33" s="72" t="s">
        <v>58</v>
      </c>
      <c r="H33" s="84" t="s">
        <v>404</v>
      </c>
      <c r="I33" s="86">
        <v>725.0</v>
      </c>
      <c r="J33" s="86">
        <v>725.0</v>
      </c>
      <c r="K33" s="86">
        <v>725.0</v>
      </c>
      <c r="L33" s="86">
        <v>725.0</v>
      </c>
      <c r="M33" s="86">
        <v>725.0</v>
      </c>
      <c r="N33" s="86">
        <v>725.0</v>
      </c>
      <c r="O33" s="86">
        <v>725.0</v>
      </c>
      <c r="P33" s="86">
        <v>725.0</v>
      </c>
      <c r="Q33" s="86">
        <v>725.0</v>
      </c>
      <c r="R33" s="86">
        <v>725.0</v>
      </c>
      <c r="S33" s="86">
        <v>725.0</v>
      </c>
      <c r="T33" s="86">
        <v>725.0</v>
      </c>
      <c r="U33" s="86">
        <v>725.0</v>
      </c>
      <c r="V33" s="86">
        <v>725.0</v>
      </c>
      <c r="W33" s="86">
        <v>725.0</v>
      </c>
      <c r="X33" s="2"/>
      <c r="Y33" s="2"/>
      <c r="Z33" s="2"/>
      <c r="AA33" s="2"/>
      <c r="AB33" s="2"/>
      <c r="AC33" s="2"/>
    </row>
    <row r="34">
      <c r="A34" s="113">
        <v>52.0</v>
      </c>
      <c r="B34" s="73" t="s">
        <v>407</v>
      </c>
      <c r="C34" s="73">
        <v>1.0</v>
      </c>
      <c r="D34" s="73" t="s">
        <v>12</v>
      </c>
      <c r="E34" s="73">
        <v>200.0</v>
      </c>
      <c r="F34" s="72" t="s">
        <v>79</v>
      </c>
      <c r="G34" s="72" t="s">
        <v>58</v>
      </c>
      <c r="H34" s="84" t="s">
        <v>404</v>
      </c>
      <c r="I34" s="86">
        <v>875.0</v>
      </c>
      <c r="J34" s="86">
        <v>875.0</v>
      </c>
      <c r="K34" s="86">
        <v>875.0</v>
      </c>
      <c r="L34" s="86">
        <v>875.0</v>
      </c>
      <c r="M34" s="86">
        <v>875.0</v>
      </c>
      <c r="N34" s="86">
        <v>875.0</v>
      </c>
      <c r="O34" s="86">
        <v>875.0</v>
      </c>
      <c r="P34" s="86">
        <v>875.0</v>
      </c>
      <c r="Q34" s="86">
        <v>875.0</v>
      </c>
      <c r="R34" s="86">
        <v>875.0</v>
      </c>
      <c r="S34" s="86">
        <v>875.0</v>
      </c>
      <c r="T34" s="86">
        <v>875.0</v>
      </c>
      <c r="U34" s="86">
        <v>875.0</v>
      </c>
      <c r="V34" s="86">
        <v>875.0</v>
      </c>
      <c r="W34" s="86">
        <v>875.0</v>
      </c>
      <c r="X34" s="2"/>
      <c r="Y34" s="2"/>
      <c r="Z34" s="2"/>
      <c r="AA34" s="2"/>
      <c r="AB34" s="2"/>
      <c r="AC34" s="2"/>
    </row>
    <row r="35">
      <c r="A35" s="113">
        <v>53.0</v>
      </c>
      <c r="B35" s="73" t="s">
        <v>407</v>
      </c>
      <c r="C35" s="73">
        <v>1.0</v>
      </c>
      <c r="D35" s="73" t="s">
        <v>12</v>
      </c>
      <c r="E35" s="73">
        <v>200.0</v>
      </c>
      <c r="F35" s="72" t="s">
        <v>80</v>
      </c>
      <c r="G35" s="72" t="s">
        <v>58</v>
      </c>
      <c r="H35" s="84" t="s">
        <v>495</v>
      </c>
      <c r="I35" s="86">
        <v>1170.0</v>
      </c>
      <c r="J35" s="86">
        <v>1170.0</v>
      </c>
      <c r="K35" s="86">
        <v>1170.0</v>
      </c>
      <c r="L35" s="86">
        <v>1170.0</v>
      </c>
      <c r="M35" s="86">
        <v>1170.0</v>
      </c>
      <c r="N35" s="86">
        <v>1170.0</v>
      </c>
      <c r="O35" s="86">
        <v>1170.0</v>
      </c>
      <c r="P35" s="86">
        <v>1170.0</v>
      </c>
      <c r="Q35" s="86">
        <v>1170.0</v>
      </c>
      <c r="R35" s="86">
        <v>1170.0</v>
      </c>
      <c r="S35" s="86">
        <v>1170.0</v>
      </c>
      <c r="T35" s="86">
        <v>1170.0</v>
      </c>
      <c r="U35" s="86">
        <v>1170.0</v>
      </c>
      <c r="V35" s="86">
        <v>1170.0</v>
      </c>
      <c r="W35" s="86">
        <v>1170.0</v>
      </c>
      <c r="X35" s="2"/>
      <c r="Y35" s="2"/>
      <c r="Z35" s="2"/>
      <c r="AA35" s="2"/>
      <c r="AB35" s="2"/>
      <c r="AC35" s="2"/>
    </row>
    <row r="36">
      <c r="A36" s="113">
        <v>54.0</v>
      </c>
      <c r="B36" s="73" t="s">
        <v>407</v>
      </c>
      <c r="C36" s="73">
        <v>1.0</v>
      </c>
      <c r="D36" s="73" t="s">
        <v>12</v>
      </c>
      <c r="E36" s="73">
        <v>200.0</v>
      </c>
      <c r="F36" s="72" t="s">
        <v>81</v>
      </c>
      <c r="G36" s="72" t="s">
        <v>58</v>
      </c>
      <c r="H36" s="84" t="s">
        <v>404</v>
      </c>
      <c r="I36" s="88">
        <v>650.0</v>
      </c>
      <c r="J36" s="88">
        <v>650.0</v>
      </c>
      <c r="K36" s="88">
        <v>650.0</v>
      </c>
      <c r="L36" s="88">
        <v>650.0</v>
      </c>
      <c r="M36" s="88">
        <v>650.0</v>
      </c>
      <c r="N36" s="86">
        <v>695.0</v>
      </c>
      <c r="O36" s="86">
        <v>695.0</v>
      </c>
      <c r="P36" s="86">
        <v>695.0</v>
      </c>
      <c r="Q36" s="86">
        <v>695.0</v>
      </c>
      <c r="R36" s="86">
        <v>695.0</v>
      </c>
      <c r="S36" s="86">
        <v>695.0</v>
      </c>
      <c r="T36" s="86">
        <v>695.0</v>
      </c>
      <c r="U36" s="86">
        <v>695.0</v>
      </c>
      <c r="V36" s="86">
        <v>695.0</v>
      </c>
      <c r="W36" s="86">
        <v>695.0</v>
      </c>
      <c r="X36" s="2"/>
      <c r="Y36" s="2"/>
      <c r="Z36" s="2"/>
      <c r="AA36" s="2"/>
      <c r="AB36" s="2"/>
      <c r="AC36" s="2"/>
    </row>
    <row r="37">
      <c r="A37" s="113">
        <v>55.0</v>
      </c>
      <c r="B37" s="73" t="s">
        <v>407</v>
      </c>
      <c r="C37" s="73">
        <v>1.0</v>
      </c>
      <c r="D37" s="73" t="s">
        <v>12</v>
      </c>
      <c r="E37" s="73">
        <v>200.0</v>
      </c>
      <c r="F37" s="72" t="s">
        <v>82</v>
      </c>
      <c r="G37" s="72" t="s">
        <v>58</v>
      </c>
      <c r="H37" s="84" t="s">
        <v>404</v>
      </c>
      <c r="I37" s="86">
        <v>675.0</v>
      </c>
      <c r="J37" s="86">
        <v>675.0</v>
      </c>
      <c r="K37" s="86">
        <v>675.0</v>
      </c>
      <c r="L37" s="86">
        <f>217.74+283.06</f>
        <v>500.8</v>
      </c>
      <c r="M37" s="86">
        <v>675.0</v>
      </c>
      <c r="N37" s="86">
        <v>675.0</v>
      </c>
      <c r="O37" s="86">
        <v>675.0</v>
      </c>
      <c r="P37" s="86">
        <v>675.0</v>
      </c>
      <c r="Q37" s="86">
        <v>675.0</v>
      </c>
      <c r="R37" s="86">
        <v>675.0</v>
      </c>
      <c r="S37" s="86">
        <v>675.0</v>
      </c>
      <c r="T37" s="86">
        <v>675.0</v>
      </c>
      <c r="U37" s="86">
        <v>675.0</v>
      </c>
      <c r="V37" s="86">
        <v>675.0</v>
      </c>
      <c r="W37" s="86">
        <v>675.0</v>
      </c>
      <c r="X37" s="2"/>
      <c r="Y37" s="2"/>
      <c r="Z37" s="2"/>
      <c r="AA37" s="2"/>
      <c r="AB37" s="2"/>
      <c r="AC37" s="2"/>
    </row>
    <row r="38">
      <c r="A38" s="113">
        <v>56.0</v>
      </c>
      <c r="B38" s="73" t="s">
        <v>407</v>
      </c>
      <c r="C38" s="73">
        <v>1.0</v>
      </c>
      <c r="D38" s="73" t="s">
        <v>12</v>
      </c>
      <c r="E38" s="73">
        <v>200.0</v>
      </c>
      <c r="F38" s="72" t="s">
        <v>83</v>
      </c>
      <c r="G38" s="72" t="s">
        <v>58</v>
      </c>
      <c r="H38" s="84" t="s">
        <v>495</v>
      </c>
      <c r="I38" s="86">
        <v>675.0</v>
      </c>
      <c r="J38" s="86">
        <v>675.0</v>
      </c>
      <c r="K38" s="86">
        <v>675.0</v>
      </c>
      <c r="L38" s="86">
        <v>675.0</v>
      </c>
      <c r="M38" s="86">
        <v>675.0</v>
      </c>
      <c r="N38" s="86">
        <v>675.0</v>
      </c>
      <c r="O38" s="86">
        <v>675.0</v>
      </c>
      <c r="P38" s="86">
        <v>675.0</v>
      </c>
      <c r="Q38" s="86">
        <v>675.0</v>
      </c>
      <c r="R38" s="86">
        <v>675.0</v>
      </c>
      <c r="S38" s="86">
        <v>675.0</v>
      </c>
      <c r="T38" s="86">
        <v>675.0</v>
      </c>
      <c r="U38" s="86">
        <v>675.0</v>
      </c>
      <c r="V38" s="86">
        <v>675.0</v>
      </c>
      <c r="W38" s="86">
        <v>675.0</v>
      </c>
      <c r="X38" s="2"/>
      <c r="Y38" s="2"/>
      <c r="Z38" s="2"/>
      <c r="AA38" s="2"/>
      <c r="AB38" s="2"/>
      <c r="AC38" s="2"/>
    </row>
    <row r="39">
      <c r="A39" s="113">
        <v>57.0</v>
      </c>
      <c r="B39" s="73" t="s">
        <v>407</v>
      </c>
      <c r="C39" s="73">
        <v>1.0</v>
      </c>
      <c r="D39" s="73" t="s">
        <v>12</v>
      </c>
      <c r="E39" s="73">
        <v>200.0</v>
      </c>
      <c r="F39" s="72" t="s">
        <v>84</v>
      </c>
      <c r="G39" s="72" t="s">
        <v>58</v>
      </c>
      <c r="H39" s="84" t="s">
        <v>404</v>
      </c>
      <c r="I39" s="86">
        <v>675.0</v>
      </c>
      <c r="J39" s="86">
        <v>675.0</v>
      </c>
      <c r="K39" s="86">
        <v>675.0</v>
      </c>
      <c r="L39" s="86">
        <v>675.0</v>
      </c>
      <c r="M39" s="86">
        <v>675.0</v>
      </c>
      <c r="N39" s="86">
        <v>675.0</v>
      </c>
      <c r="O39" s="86">
        <v>675.0</v>
      </c>
      <c r="P39" s="86">
        <v>675.0</v>
      </c>
      <c r="Q39" s="86">
        <v>675.0</v>
      </c>
      <c r="R39" s="86">
        <v>675.0</v>
      </c>
      <c r="S39" s="86">
        <v>675.0</v>
      </c>
      <c r="T39" s="86">
        <v>675.0</v>
      </c>
      <c r="U39" s="86">
        <v>675.0</v>
      </c>
      <c r="V39" s="86">
        <v>675.0</v>
      </c>
      <c r="W39" s="86">
        <v>675.0</v>
      </c>
      <c r="X39" s="2"/>
      <c r="Y39" s="2"/>
      <c r="Z39" s="2"/>
      <c r="AA39" s="2"/>
      <c r="AB39" s="2"/>
      <c r="AC39" s="2"/>
    </row>
    <row r="40">
      <c r="A40" s="113">
        <v>58.0</v>
      </c>
      <c r="B40" s="73" t="s">
        <v>407</v>
      </c>
      <c r="C40" s="73">
        <v>1.0</v>
      </c>
      <c r="D40" s="73" t="s">
        <v>12</v>
      </c>
      <c r="E40" s="73">
        <v>200.0</v>
      </c>
      <c r="F40" s="72" t="s">
        <v>85</v>
      </c>
      <c r="G40" s="72" t="s">
        <v>58</v>
      </c>
      <c r="H40" s="84" t="s">
        <v>404</v>
      </c>
      <c r="I40" s="86">
        <v>725.0</v>
      </c>
      <c r="J40" s="86">
        <v>725.0</v>
      </c>
      <c r="K40" s="86">
        <v>725.0</v>
      </c>
      <c r="L40" s="86">
        <v>725.0</v>
      </c>
      <c r="M40" s="86">
        <v>725.0</v>
      </c>
      <c r="N40" s="86">
        <v>725.0</v>
      </c>
      <c r="O40" s="86">
        <v>725.0</v>
      </c>
      <c r="P40" s="86">
        <v>725.0</v>
      </c>
      <c r="Q40" s="86">
        <v>725.0</v>
      </c>
      <c r="R40" s="86">
        <v>725.0</v>
      </c>
      <c r="S40" s="86">
        <v>725.0</v>
      </c>
      <c r="T40" s="86">
        <v>725.0</v>
      </c>
      <c r="U40" s="86">
        <v>725.0</v>
      </c>
      <c r="V40" s="86">
        <v>725.0</v>
      </c>
      <c r="W40" s="86">
        <v>725.0</v>
      </c>
      <c r="X40" s="2"/>
      <c r="Y40" s="2"/>
      <c r="Z40" s="2"/>
      <c r="AA40" s="2"/>
      <c r="AB40" s="2"/>
      <c r="AC40" s="2"/>
    </row>
    <row r="41">
      <c r="A41" s="113">
        <v>59.0</v>
      </c>
      <c r="B41" s="73" t="s">
        <v>407</v>
      </c>
      <c r="C41" s="73">
        <v>1.0</v>
      </c>
      <c r="D41" s="73" t="s">
        <v>12</v>
      </c>
      <c r="E41" s="73">
        <v>200.0</v>
      </c>
      <c r="F41" s="72" t="s">
        <v>86</v>
      </c>
      <c r="G41" s="72" t="s">
        <v>58</v>
      </c>
      <c r="H41" s="84" t="s">
        <v>404</v>
      </c>
      <c r="I41" s="86">
        <v>675.0</v>
      </c>
      <c r="J41" s="86">
        <v>675.0</v>
      </c>
      <c r="K41" s="86">
        <v>675.0</v>
      </c>
      <c r="L41" s="86">
        <v>675.0</v>
      </c>
      <c r="M41" s="86">
        <v>675.0</v>
      </c>
      <c r="N41" s="86">
        <v>675.0</v>
      </c>
      <c r="O41" s="86">
        <v>675.0</v>
      </c>
      <c r="P41" s="86">
        <v>675.0</v>
      </c>
      <c r="Q41" s="86">
        <v>675.0</v>
      </c>
      <c r="R41" s="86">
        <v>675.0</v>
      </c>
      <c r="S41" s="86">
        <v>675.0</v>
      </c>
      <c r="T41" s="86">
        <v>675.0</v>
      </c>
      <c r="U41" s="86">
        <v>675.0</v>
      </c>
      <c r="V41" s="86">
        <v>675.0</v>
      </c>
      <c r="W41" s="86">
        <v>675.0</v>
      </c>
      <c r="X41" s="2"/>
      <c r="Y41" s="2"/>
      <c r="Z41" s="2"/>
      <c r="AA41" s="2"/>
      <c r="AB41" s="2"/>
      <c r="AC41" s="2"/>
    </row>
    <row r="42">
      <c r="A42" s="113">
        <v>60.0</v>
      </c>
      <c r="B42" s="73" t="s">
        <v>407</v>
      </c>
      <c r="C42" s="73">
        <v>1.0</v>
      </c>
      <c r="D42" s="73" t="s">
        <v>12</v>
      </c>
      <c r="E42" s="73">
        <v>200.0</v>
      </c>
      <c r="F42" s="72" t="s">
        <v>87</v>
      </c>
      <c r="G42" s="72" t="s">
        <v>58</v>
      </c>
      <c r="H42" s="84" t="s">
        <v>495</v>
      </c>
      <c r="I42" s="86">
        <f>326.61+370.16</f>
        <v>696.77</v>
      </c>
      <c r="J42" s="86">
        <v>675.0</v>
      </c>
      <c r="K42" s="86">
        <v>675.0</v>
      </c>
      <c r="L42" s="86">
        <v>675.0</v>
      </c>
      <c r="M42" s="86">
        <v>675.0</v>
      </c>
      <c r="N42" s="86">
        <v>675.0</v>
      </c>
      <c r="O42" s="86">
        <v>675.0</v>
      </c>
      <c r="P42" s="86">
        <v>675.0</v>
      </c>
      <c r="Q42" s="86">
        <v>675.0</v>
      </c>
      <c r="R42" s="86">
        <v>675.0</v>
      </c>
      <c r="S42" s="86">
        <v>675.0</v>
      </c>
      <c r="T42" s="86">
        <v>675.0</v>
      </c>
      <c r="U42" s="86">
        <v>675.0</v>
      </c>
      <c r="V42" s="86">
        <v>675.0</v>
      </c>
      <c r="W42" s="86">
        <v>675.0</v>
      </c>
      <c r="X42" s="2"/>
      <c r="Y42" s="2"/>
      <c r="Z42" s="2"/>
      <c r="AA42" s="2"/>
      <c r="AB42" s="2"/>
      <c r="AC42" s="2"/>
    </row>
    <row r="43">
      <c r="A43" s="113">
        <v>61.0</v>
      </c>
      <c r="B43" s="73" t="s">
        <v>407</v>
      </c>
      <c r="C43" s="73">
        <v>1.0</v>
      </c>
      <c r="D43" s="73" t="s">
        <v>12</v>
      </c>
      <c r="E43" s="73">
        <v>200.0</v>
      </c>
      <c r="F43" s="72" t="s">
        <v>88</v>
      </c>
      <c r="G43" s="72" t="s">
        <v>58</v>
      </c>
      <c r="H43" s="84" t="s">
        <v>404</v>
      </c>
      <c r="I43" s="86">
        <v>675.0</v>
      </c>
      <c r="J43" s="86">
        <v>675.0</v>
      </c>
      <c r="K43" s="86">
        <v>675.0</v>
      </c>
      <c r="L43" s="86">
        <v>675.0</v>
      </c>
      <c r="M43" s="86">
        <v>675.0</v>
      </c>
      <c r="N43" s="86">
        <v>675.0</v>
      </c>
      <c r="O43" s="86">
        <v>675.0</v>
      </c>
      <c r="P43" s="86">
        <v>675.0</v>
      </c>
      <c r="Q43" s="86">
        <v>675.0</v>
      </c>
      <c r="R43" s="86">
        <v>675.0</v>
      </c>
      <c r="S43" s="86">
        <v>675.0</v>
      </c>
      <c r="T43" s="86">
        <v>675.0</v>
      </c>
      <c r="U43" s="86">
        <v>675.0</v>
      </c>
      <c r="V43" s="86">
        <v>675.0</v>
      </c>
      <c r="W43" s="86">
        <v>675.0</v>
      </c>
      <c r="X43" s="2"/>
      <c r="Y43" s="2"/>
      <c r="Z43" s="2"/>
      <c r="AA43" s="2"/>
      <c r="AB43" s="2"/>
      <c r="AC43" s="2"/>
    </row>
    <row r="44">
      <c r="A44" s="113">
        <v>62.0</v>
      </c>
      <c r="B44" s="73" t="s">
        <v>407</v>
      </c>
      <c r="C44" s="73">
        <v>1.0</v>
      </c>
      <c r="D44" s="73" t="s">
        <v>12</v>
      </c>
      <c r="E44" s="73">
        <v>200.0</v>
      </c>
      <c r="F44" s="72" t="s">
        <v>89</v>
      </c>
      <c r="G44" s="72" t="s">
        <v>58</v>
      </c>
      <c r="H44" s="84" t="s">
        <v>404</v>
      </c>
      <c r="I44" s="86">
        <v>675.0</v>
      </c>
      <c r="J44" s="86">
        <v>725.0</v>
      </c>
      <c r="K44" s="86">
        <v>725.0</v>
      </c>
      <c r="L44" s="86">
        <v>725.0</v>
      </c>
      <c r="M44" s="86">
        <v>725.0</v>
      </c>
      <c r="N44" s="86">
        <v>725.0</v>
      </c>
      <c r="O44" s="86">
        <v>725.0</v>
      </c>
      <c r="P44" s="86">
        <v>725.0</v>
      </c>
      <c r="Q44" s="86">
        <v>725.0</v>
      </c>
      <c r="R44" s="86">
        <v>725.0</v>
      </c>
      <c r="S44" s="86">
        <v>725.0</v>
      </c>
      <c r="T44" s="86">
        <v>725.0</v>
      </c>
      <c r="U44" s="86">
        <v>725.0</v>
      </c>
      <c r="V44" s="86">
        <v>725.0</v>
      </c>
      <c r="W44" s="86">
        <v>725.0</v>
      </c>
      <c r="X44" s="2"/>
      <c r="Y44" s="2"/>
      <c r="Z44" s="2"/>
      <c r="AA44" s="2"/>
      <c r="AB44" s="2"/>
      <c r="AC44" s="2"/>
    </row>
    <row r="45">
      <c r="A45" s="113">
        <v>63.0</v>
      </c>
      <c r="B45" s="73" t="s">
        <v>407</v>
      </c>
      <c r="C45" s="73">
        <v>1.0</v>
      </c>
      <c r="D45" s="73" t="s">
        <v>12</v>
      </c>
      <c r="E45" s="73">
        <v>200.0</v>
      </c>
      <c r="F45" s="72" t="s">
        <v>90</v>
      </c>
      <c r="G45" s="72" t="s">
        <v>58</v>
      </c>
      <c r="H45" s="84" t="s">
        <v>404</v>
      </c>
      <c r="I45" s="86">
        <v>675.0</v>
      </c>
      <c r="J45" s="86">
        <v>675.0</v>
      </c>
      <c r="K45" s="86">
        <v>675.0</v>
      </c>
      <c r="L45" s="86">
        <v>675.0</v>
      </c>
      <c r="M45" s="86">
        <v>675.0</v>
      </c>
      <c r="N45" s="86">
        <v>675.0</v>
      </c>
      <c r="O45" s="86">
        <v>675.0</v>
      </c>
      <c r="P45" s="86">
        <v>675.0</v>
      </c>
      <c r="Q45" s="86">
        <v>675.0</v>
      </c>
      <c r="R45" s="86">
        <v>675.0</v>
      </c>
      <c r="S45" s="86">
        <v>675.0</v>
      </c>
      <c r="T45" s="86">
        <v>675.0</v>
      </c>
      <c r="U45" s="86">
        <v>675.0</v>
      </c>
      <c r="V45" s="86">
        <v>675.0</v>
      </c>
      <c r="W45" s="86">
        <v>675.0</v>
      </c>
      <c r="X45" s="2"/>
      <c r="Y45" s="2"/>
      <c r="Z45" s="2"/>
      <c r="AA45" s="2"/>
      <c r="AB45" s="2"/>
      <c r="AC45" s="2"/>
    </row>
    <row r="46">
      <c r="A46" s="113">
        <v>64.0</v>
      </c>
      <c r="B46" s="73" t="s">
        <v>407</v>
      </c>
      <c r="C46" s="73">
        <v>1.0</v>
      </c>
      <c r="D46" s="73" t="s">
        <v>12</v>
      </c>
      <c r="E46" s="73">
        <v>200.0</v>
      </c>
      <c r="F46" s="72" t="s">
        <v>91</v>
      </c>
      <c r="G46" s="72" t="s">
        <v>58</v>
      </c>
      <c r="H46" s="84" t="s">
        <v>404</v>
      </c>
      <c r="I46" s="86">
        <v>655.0</v>
      </c>
      <c r="J46" s="86">
        <v>655.0</v>
      </c>
      <c r="K46" s="86">
        <v>655.0</v>
      </c>
      <c r="L46" s="86">
        <v>655.0</v>
      </c>
      <c r="M46" s="86">
        <v>655.0</v>
      </c>
      <c r="N46" s="86">
        <v>655.0</v>
      </c>
      <c r="O46" s="86">
        <v>655.0</v>
      </c>
      <c r="P46" s="86">
        <v>655.0</v>
      </c>
      <c r="Q46" s="86">
        <v>655.0</v>
      </c>
      <c r="R46" s="86">
        <v>655.0</v>
      </c>
      <c r="S46" s="86">
        <v>655.0</v>
      </c>
      <c r="T46" s="86">
        <v>655.0</v>
      </c>
      <c r="U46" s="86">
        <v>655.0</v>
      </c>
      <c r="V46" s="86">
        <v>655.0</v>
      </c>
      <c r="W46" s="86">
        <v>655.0</v>
      </c>
      <c r="X46" s="2"/>
      <c r="Y46" s="2"/>
      <c r="Z46" s="2"/>
      <c r="AA46" s="2"/>
      <c r="AB46" s="2"/>
      <c r="AC46" s="2"/>
    </row>
    <row r="47">
      <c r="A47" s="113">
        <v>65.0</v>
      </c>
      <c r="B47" s="73" t="s">
        <v>407</v>
      </c>
      <c r="C47" s="73">
        <v>1.0</v>
      </c>
      <c r="D47" s="73" t="s">
        <v>12</v>
      </c>
      <c r="E47" s="73">
        <v>200.0</v>
      </c>
      <c r="F47" s="72" t="s">
        <v>92</v>
      </c>
      <c r="G47" s="72" t="s">
        <v>58</v>
      </c>
      <c r="H47" s="84" t="s">
        <v>404</v>
      </c>
      <c r="I47" s="86">
        <v>655.0</v>
      </c>
      <c r="J47" s="86">
        <v>655.0</v>
      </c>
      <c r="K47" s="86">
        <v>655.0</v>
      </c>
      <c r="L47" s="86">
        <v>655.0</v>
      </c>
      <c r="M47" s="86">
        <v>655.0</v>
      </c>
      <c r="N47" s="86">
        <v>655.0</v>
      </c>
      <c r="O47" s="86">
        <v>655.0</v>
      </c>
      <c r="P47" s="86">
        <v>655.0</v>
      </c>
      <c r="Q47" s="86">
        <v>655.0</v>
      </c>
      <c r="R47" s="86">
        <v>655.0</v>
      </c>
      <c r="S47" s="86">
        <v>655.0</v>
      </c>
      <c r="T47" s="86">
        <v>655.0</v>
      </c>
      <c r="U47" s="86">
        <v>655.0</v>
      </c>
      <c r="V47" s="86">
        <v>655.0</v>
      </c>
      <c r="W47" s="86">
        <v>655.0</v>
      </c>
      <c r="X47" s="2"/>
      <c r="Y47" s="2"/>
      <c r="Z47" s="2"/>
      <c r="AA47" s="2"/>
      <c r="AB47" s="2"/>
      <c r="AC47" s="2"/>
    </row>
    <row r="48">
      <c r="A48" s="113">
        <v>66.0</v>
      </c>
      <c r="B48" s="73" t="s">
        <v>407</v>
      </c>
      <c r="C48" s="73">
        <v>1.0</v>
      </c>
      <c r="D48" s="73" t="s">
        <v>12</v>
      </c>
      <c r="E48" s="73">
        <v>200.0</v>
      </c>
      <c r="F48" s="72" t="s">
        <v>93</v>
      </c>
      <c r="G48" s="72" t="s">
        <v>58</v>
      </c>
      <c r="H48" s="84" t="s">
        <v>495</v>
      </c>
      <c r="I48" s="86">
        <v>675.0</v>
      </c>
      <c r="J48" s="86">
        <v>675.0</v>
      </c>
      <c r="K48" s="86">
        <v>675.0</v>
      </c>
      <c r="L48" s="86">
        <v>675.0</v>
      </c>
      <c r="M48" s="86">
        <v>675.0</v>
      </c>
      <c r="N48" s="86">
        <v>675.0</v>
      </c>
      <c r="O48" s="86">
        <v>675.0</v>
      </c>
      <c r="P48" s="86">
        <v>675.0</v>
      </c>
      <c r="Q48" s="86">
        <v>675.0</v>
      </c>
      <c r="R48" s="86">
        <v>675.0</v>
      </c>
      <c r="S48" s="86">
        <v>675.0</v>
      </c>
      <c r="T48" s="86">
        <v>675.0</v>
      </c>
      <c r="U48" s="86">
        <v>675.0</v>
      </c>
      <c r="V48" s="86">
        <v>675.0</v>
      </c>
      <c r="W48" s="86">
        <v>675.0</v>
      </c>
      <c r="X48" s="2"/>
      <c r="Y48" s="2"/>
      <c r="Z48" s="2"/>
      <c r="AA48" s="2"/>
      <c r="AB48" s="2"/>
      <c r="AC48" s="2"/>
    </row>
    <row r="49">
      <c r="A49" s="113">
        <v>67.0</v>
      </c>
      <c r="B49" s="73" t="s">
        <v>407</v>
      </c>
      <c r="C49" s="73">
        <v>1.0</v>
      </c>
      <c r="D49" s="73" t="s">
        <v>12</v>
      </c>
      <c r="E49" s="73">
        <v>200.0</v>
      </c>
      <c r="F49" s="72" t="s">
        <v>94</v>
      </c>
      <c r="G49" s="72" t="s">
        <v>58</v>
      </c>
      <c r="H49" s="84" t="s">
        <v>495</v>
      </c>
      <c r="I49" s="86">
        <v>675.0</v>
      </c>
      <c r="J49" s="86">
        <v>675.0</v>
      </c>
      <c r="K49" s="86">
        <v>675.0</v>
      </c>
      <c r="L49" s="86">
        <v>675.0</v>
      </c>
      <c r="M49" s="86">
        <v>675.0</v>
      </c>
      <c r="N49" s="86">
        <v>675.0</v>
      </c>
      <c r="O49" s="86">
        <v>675.0</v>
      </c>
      <c r="P49" s="86">
        <v>675.0</v>
      </c>
      <c r="Q49" s="86">
        <v>675.0</v>
      </c>
      <c r="R49" s="86">
        <v>675.0</v>
      </c>
      <c r="S49" s="86">
        <v>675.0</v>
      </c>
      <c r="T49" s="86">
        <v>675.0</v>
      </c>
      <c r="U49" s="86">
        <v>675.0</v>
      </c>
      <c r="V49" s="86">
        <v>675.0</v>
      </c>
      <c r="W49" s="86">
        <v>675.0</v>
      </c>
      <c r="X49" s="2"/>
      <c r="Y49" s="2"/>
      <c r="Z49" s="2"/>
      <c r="AA49" s="2"/>
      <c r="AB49" s="2"/>
      <c r="AC49" s="2"/>
    </row>
    <row r="50">
      <c r="A50" s="113">
        <v>68.0</v>
      </c>
      <c r="B50" s="73" t="s">
        <v>407</v>
      </c>
      <c r="C50" s="73">
        <v>1.0</v>
      </c>
      <c r="D50" s="73" t="s">
        <v>12</v>
      </c>
      <c r="E50" s="73">
        <v>200.0</v>
      </c>
      <c r="F50" s="72" t="s">
        <v>95</v>
      </c>
      <c r="G50" s="72" t="s">
        <v>58</v>
      </c>
      <c r="H50" s="84" t="s">
        <v>404</v>
      </c>
      <c r="I50" s="86">
        <v>695.0</v>
      </c>
      <c r="J50" s="86">
        <v>695.0</v>
      </c>
      <c r="K50" s="86">
        <v>695.0</v>
      </c>
      <c r="L50" s="86">
        <v>695.0</v>
      </c>
      <c r="M50" s="86">
        <v>695.0</v>
      </c>
      <c r="N50" s="86">
        <v>695.0</v>
      </c>
      <c r="O50" s="86">
        <v>695.0</v>
      </c>
      <c r="P50" s="86">
        <v>695.0</v>
      </c>
      <c r="Q50" s="86">
        <v>695.0</v>
      </c>
      <c r="R50" s="86">
        <v>695.0</v>
      </c>
      <c r="S50" s="86">
        <v>695.0</v>
      </c>
      <c r="T50" s="86">
        <v>695.0</v>
      </c>
      <c r="U50" s="86">
        <v>695.0</v>
      </c>
      <c r="V50" s="86">
        <v>695.0</v>
      </c>
      <c r="W50" s="86">
        <v>695.0</v>
      </c>
      <c r="X50" s="2"/>
      <c r="Y50" s="2"/>
      <c r="Z50" s="2"/>
      <c r="AA50" s="2"/>
      <c r="AB50" s="2"/>
      <c r="AC50" s="2"/>
    </row>
    <row r="51">
      <c r="A51" s="113">
        <v>69.0</v>
      </c>
      <c r="B51" s="73" t="s">
        <v>407</v>
      </c>
      <c r="C51" s="73">
        <v>1.0</v>
      </c>
      <c r="D51" s="73" t="s">
        <v>12</v>
      </c>
      <c r="E51" s="73">
        <v>200.0</v>
      </c>
      <c r="F51" s="72" t="s">
        <v>96</v>
      </c>
      <c r="G51" s="72" t="s">
        <v>58</v>
      </c>
      <c r="H51" s="84" t="s">
        <v>404</v>
      </c>
      <c r="I51" s="86">
        <v>675.0</v>
      </c>
      <c r="J51" s="86">
        <v>675.0</v>
      </c>
      <c r="K51" s="86">
        <v>675.0</v>
      </c>
      <c r="L51" s="86">
        <v>675.0</v>
      </c>
      <c r="M51" s="86">
        <v>289.28</v>
      </c>
      <c r="N51" s="121">
        <v>0.0</v>
      </c>
      <c r="O51" s="86">
        <v>675.0</v>
      </c>
      <c r="P51" s="86">
        <v>675.0</v>
      </c>
      <c r="Q51" s="86">
        <v>675.0</v>
      </c>
      <c r="R51" s="86">
        <v>675.0</v>
      </c>
      <c r="S51" s="86">
        <v>675.0</v>
      </c>
      <c r="T51" s="86">
        <v>675.0</v>
      </c>
      <c r="U51" s="86">
        <v>675.0</v>
      </c>
      <c r="V51" s="86">
        <v>675.0</v>
      </c>
      <c r="W51" s="86">
        <v>675.0</v>
      </c>
      <c r="X51" s="2"/>
      <c r="Y51" s="2"/>
      <c r="Z51" s="2"/>
      <c r="AA51" s="2"/>
      <c r="AB51" s="2"/>
      <c r="AC51" s="2"/>
    </row>
    <row r="52">
      <c r="A52" s="113">
        <v>70.0</v>
      </c>
      <c r="B52" s="73" t="s">
        <v>407</v>
      </c>
      <c r="C52" s="73">
        <v>1.0</v>
      </c>
      <c r="D52" s="73" t="s">
        <v>12</v>
      </c>
      <c r="E52" s="73">
        <v>200.0</v>
      </c>
      <c r="F52" s="72" t="s">
        <v>97</v>
      </c>
      <c r="G52" s="72" t="s">
        <v>58</v>
      </c>
      <c r="H52" s="84" t="s">
        <v>404</v>
      </c>
      <c r="I52" s="86">
        <v>650.0</v>
      </c>
      <c r="J52" s="86">
        <v>650.0</v>
      </c>
      <c r="K52" s="86">
        <v>650.0</v>
      </c>
      <c r="L52" s="86">
        <v>650.0</v>
      </c>
      <c r="M52" s="86">
        <v>650.0</v>
      </c>
      <c r="N52" s="86">
        <v>675.0</v>
      </c>
      <c r="O52" s="86">
        <v>675.0</v>
      </c>
      <c r="P52" s="86">
        <v>675.0</v>
      </c>
      <c r="Q52" s="86">
        <v>675.0</v>
      </c>
      <c r="R52" s="86">
        <v>675.0</v>
      </c>
      <c r="S52" s="86">
        <v>675.0</v>
      </c>
      <c r="T52" s="86">
        <v>675.0</v>
      </c>
      <c r="U52" s="86">
        <v>675.0</v>
      </c>
      <c r="V52" s="86">
        <v>675.0</v>
      </c>
      <c r="W52" s="86">
        <v>675.0</v>
      </c>
      <c r="X52" s="2"/>
      <c r="Y52" s="2"/>
      <c r="Z52" s="2"/>
      <c r="AA52" s="2"/>
      <c r="AB52" s="2"/>
      <c r="AC52" s="2"/>
    </row>
    <row r="53">
      <c r="A53" s="113">
        <v>71.0</v>
      </c>
      <c r="B53" s="73" t="s">
        <v>407</v>
      </c>
      <c r="C53" s="73">
        <v>1.0</v>
      </c>
      <c r="D53" s="73" t="s">
        <v>12</v>
      </c>
      <c r="E53" s="73">
        <v>200.0</v>
      </c>
      <c r="F53" s="72" t="s">
        <v>98</v>
      </c>
      <c r="G53" s="72" t="s">
        <v>58</v>
      </c>
      <c r="H53" s="84" t="s">
        <v>404</v>
      </c>
      <c r="I53" s="86">
        <v>675.0</v>
      </c>
      <c r="J53" s="86">
        <v>675.0</v>
      </c>
      <c r="K53" s="86">
        <v>675.0</v>
      </c>
      <c r="L53" s="86">
        <v>675.0</v>
      </c>
      <c r="M53" s="86">
        <v>675.0</v>
      </c>
      <c r="N53" s="86">
        <v>675.0</v>
      </c>
      <c r="O53" s="86">
        <v>675.0</v>
      </c>
      <c r="P53" s="86">
        <v>675.0</v>
      </c>
      <c r="Q53" s="86">
        <v>675.0</v>
      </c>
      <c r="R53" s="86">
        <v>675.0</v>
      </c>
      <c r="S53" s="86">
        <v>675.0</v>
      </c>
      <c r="T53" s="86">
        <v>675.0</v>
      </c>
      <c r="U53" s="86">
        <v>675.0</v>
      </c>
      <c r="V53" s="86">
        <v>675.0</v>
      </c>
      <c r="W53" s="86">
        <v>675.0</v>
      </c>
      <c r="X53" s="2"/>
      <c r="Y53" s="2"/>
      <c r="Z53" s="2"/>
      <c r="AA53" s="2"/>
      <c r="AB53" s="2"/>
      <c r="AC53" s="2"/>
    </row>
    <row r="54">
      <c r="A54" s="113">
        <v>72.0</v>
      </c>
      <c r="B54" s="73" t="s">
        <v>407</v>
      </c>
      <c r="C54" s="73">
        <v>1.0</v>
      </c>
      <c r="D54" s="73" t="s">
        <v>12</v>
      </c>
      <c r="E54" s="73">
        <v>200.0</v>
      </c>
      <c r="F54" s="72" t="s">
        <v>99</v>
      </c>
      <c r="G54" s="72" t="s">
        <v>58</v>
      </c>
      <c r="H54" s="84" t="s">
        <v>404</v>
      </c>
      <c r="I54" s="86">
        <v>675.0</v>
      </c>
      <c r="J54" s="86">
        <v>675.0</v>
      </c>
      <c r="K54" s="86">
        <v>675.0</v>
      </c>
      <c r="L54" s="86">
        <v>675.0</v>
      </c>
      <c r="M54" s="86">
        <v>675.0</v>
      </c>
      <c r="N54" s="86">
        <v>675.0</v>
      </c>
      <c r="O54" s="86">
        <v>675.0</v>
      </c>
      <c r="P54" s="86">
        <v>675.0</v>
      </c>
      <c r="Q54" s="86">
        <v>675.0</v>
      </c>
      <c r="R54" s="86">
        <v>675.0</v>
      </c>
      <c r="S54" s="86">
        <v>675.0</v>
      </c>
      <c r="T54" s="86">
        <v>675.0</v>
      </c>
      <c r="U54" s="86">
        <v>675.0</v>
      </c>
      <c r="V54" s="86">
        <v>675.0</v>
      </c>
      <c r="W54" s="86">
        <v>675.0</v>
      </c>
      <c r="X54" s="2"/>
      <c r="Y54" s="2"/>
      <c r="Z54" s="2"/>
      <c r="AA54" s="2"/>
      <c r="AB54" s="2"/>
      <c r="AC54" s="2"/>
    </row>
    <row r="55">
      <c r="A55" s="113">
        <v>25.0</v>
      </c>
      <c r="B55" s="73" t="s">
        <v>407</v>
      </c>
      <c r="C55" s="73">
        <v>1.0</v>
      </c>
      <c r="D55" s="73" t="s">
        <v>12</v>
      </c>
      <c r="E55" s="73">
        <v>310.0</v>
      </c>
      <c r="F55" s="72" t="s">
        <v>40</v>
      </c>
      <c r="G55" s="72" t="s">
        <v>39</v>
      </c>
      <c r="H55" s="84" t="s">
        <v>404</v>
      </c>
      <c r="I55" s="86">
        <v>-1045.02</v>
      </c>
      <c r="J55" s="86">
        <v>-1045.02</v>
      </c>
      <c r="K55" s="86">
        <v>-1045.02</v>
      </c>
      <c r="L55" s="86">
        <v>-1045.02</v>
      </c>
      <c r="M55" s="86">
        <v>-1045.02</v>
      </c>
      <c r="N55" s="86">
        <v>-1045.02</v>
      </c>
      <c r="O55" s="86">
        <v>-1045.02</v>
      </c>
      <c r="P55" s="86">
        <v>-1045.02</v>
      </c>
      <c r="Q55" s="86">
        <v>-1045.02</v>
      </c>
      <c r="R55" s="86">
        <v>-1045.02</v>
      </c>
      <c r="S55" s="86">
        <v>-1045.02</v>
      </c>
      <c r="T55" s="86">
        <v>-1045.02</v>
      </c>
      <c r="U55" s="86">
        <v>-1045.02</v>
      </c>
      <c r="V55" s="86">
        <v>-1045.02</v>
      </c>
      <c r="W55" s="86">
        <v>-1045.02</v>
      </c>
      <c r="X55" s="2"/>
      <c r="Y55" s="2"/>
      <c r="Z55" s="2"/>
      <c r="AA55" s="2"/>
      <c r="AB55" s="2"/>
      <c r="AC55" s="2"/>
    </row>
    <row r="56">
      <c r="A56" s="113">
        <v>164.0</v>
      </c>
      <c r="B56" s="73" t="s">
        <v>407</v>
      </c>
      <c r="C56" s="73">
        <v>1.0</v>
      </c>
      <c r="D56" s="73" t="s">
        <v>12</v>
      </c>
      <c r="E56" s="73">
        <v>320.0</v>
      </c>
      <c r="F56" s="72" t="s">
        <v>34</v>
      </c>
      <c r="G56" s="72" t="s">
        <v>33</v>
      </c>
      <c r="H56" s="84" t="s">
        <v>404</v>
      </c>
      <c r="I56" s="86">
        <v>-99.32</v>
      </c>
      <c r="J56" s="86">
        <v>-99.32</v>
      </c>
      <c r="K56" s="86">
        <v>-99.32</v>
      </c>
      <c r="L56" s="86">
        <v>-114.61</v>
      </c>
      <c r="M56" s="86">
        <v>-114.61</v>
      </c>
      <c r="N56" s="86">
        <v>-114.61</v>
      </c>
      <c r="O56" s="86">
        <v>-114.61</v>
      </c>
      <c r="P56" s="86">
        <v>-114.61</v>
      </c>
      <c r="Q56" s="86">
        <v>-114.61</v>
      </c>
      <c r="R56" s="86">
        <v>-114.61</v>
      </c>
      <c r="S56" s="86">
        <v>-114.61</v>
      </c>
      <c r="T56" s="86">
        <v>-114.61</v>
      </c>
      <c r="U56" s="86">
        <v>-114.61</v>
      </c>
      <c r="V56" s="86">
        <v>-114.61</v>
      </c>
      <c r="W56" s="86">
        <v>-114.61</v>
      </c>
      <c r="X56" s="2"/>
      <c r="Y56" s="122"/>
      <c r="Z56" s="123"/>
      <c r="AA56" s="122"/>
      <c r="AB56" s="2"/>
      <c r="AC56" s="2"/>
    </row>
    <row r="57">
      <c r="A57" s="113">
        <v>165.0</v>
      </c>
      <c r="B57" s="73" t="s">
        <v>407</v>
      </c>
      <c r="C57" s="73">
        <v>1.0</v>
      </c>
      <c r="D57" s="73" t="s">
        <v>12</v>
      </c>
      <c r="E57" s="73">
        <v>320.0</v>
      </c>
      <c r="F57" s="72" t="s">
        <v>35</v>
      </c>
      <c r="G57" s="72" t="s">
        <v>33</v>
      </c>
      <c r="H57" s="84" t="s">
        <v>404</v>
      </c>
      <c r="I57" s="86">
        <v>-106.17</v>
      </c>
      <c r="J57" s="86">
        <v>-106.17</v>
      </c>
      <c r="K57" s="86">
        <v>-106.17</v>
      </c>
      <c r="L57" s="86">
        <v>-106.17</v>
      </c>
      <c r="M57" s="86">
        <v>-106.17</v>
      </c>
      <c r="N57" s="86">
        <v>-50.23</v>
      </c>
      <c r="O57" s="86">
        <v>-50.23</v>
      </c>
      <c r="P57" s="86">
        <v>-50.23</v>
      </c>
      <c r="Q57" s="86">
        <v>-50.23</v>
      </c>
      <c r="R57" s="86">
        <v>-50.23</v>
      </c>
      <c r="S57" s="86">
        <v>-50.23</v>
      </c>
      <c r="T57" s="86">
        <v>-50.23</v>
      </c>
      <c r="U57" s="86">
        <v>-50.23</v>
      </c>
      <c r="V57" s="86">
        <v>-50.23</v>
      </c>
      <c r="W57" s="86">
        <v>-50.23</v>
      </c>
      <c r="X57" s="2"/>
      <c r="Y57" s="122"/>
      <c r="Z57" s="123"/>
      <c r="AA57" s="122"/>
      <c r="AB57" s="2"/>
      <c r="AC57" s="2"/>
    </row>
    <row r="58">
      <c r="A58" s="113">
        <v>166.0</v>
      </c>
      <c r="B58" s="73" t="s">
        <v>407</v>
      </c>
      <c r="C58" s="73">
        <v>1.0</v>
      </c>
      <c r="D58" s="73" t="s">
        <v>12</v>
      </c>
      <c r="E58" s="73">
        <v>320.0</v>
      </c>
      <c r="F58" s="72" t="s">
        <v>36</v>
      </c>
      <c r="G58" s="72" t="s">
        <v>33</v>
      </c>
      <c r="H58" s="84" t="s">
        <v>404</v>
      </c>
      <c r="I58" s="86">
        <v>-111.3</v>
      </c>
      <c r="J58" s="86">
        <v>-111.3</v>
      </c>
      <c r="K58" s="86">
        <v>-78.64</v>
      </c>
      <c r="L58" s="86">
        <v>-78.64</v>
      </c>
      <c r="M58" s="86">
        <v>-78.64</v>
      </c>
      <c r="N58" s="86">
        <v>-78.64</v>
      </c>
      <c r="O58" s="86">
        <v>-78.64</v>
      </c>
      <c r="P58" s="86">
        <v>-78.64</v>
      </c>
      <c r="Q58" s="86">
        <v>-78.64</v>
      </c>
      <c r="R58" s="86">
        <v>-78.64</v>
      </c>
      <c r="S58" s="86">
        <v>-78.64</v>
      </c>
      <c r="T58" s="86">
        <v>-78.64</v>
      </c>
      <c r="U58" s="86">
        <v>-78.64</v>
      </c>
      <c r="V58" s="86">
        <v>-78.64</v>
      </c>
      <c r="W58" s="86">
        <v>-78.64</v>
      </c>
      <c r="X58" s="2"/>
      <c r="Y58" s="122"/>
      <c r="Z58" s="123"/>
      <c r="AA58" s="122"/>
      <c r="AB58" s="2"/>
      <c r="AC58" s="2"/>
    </row>
    <row r="59">
      <c r="A59" s="113">
        <v>175.0</v>
      </c>
      <c r="B59" s="73" t="s">
        <v>407</v>
      </c>
      <c r="C59" s="73">
        <v>3.0</v>
      </c>
      <c r="D59" s="73" t="s">
        <v>12</v>
      </c>
      <c r="E59" s="73">
        <v>421.0</v>
      </c>
      <c r="F59" s="124" t="s">
        <v>503</v>
      </c>
      <c r="G59" s="124" t="s">
        <v>113</v>
      </c>
      <c r="H59" s="84" t="s">
        <v>404</v>
      </c>
      <c r="I59" s="86">
        <f>-50-50</f>
        <v>-100</v>
      </c>
      <c r="J59" s="86">
        <v>0.0</v>
      </c>
      <c r="K59" s="86">
        <f>-50-50</f>
        <v>-100</v>
      </c>
      <c r="L59" s="86">
        <v>-50.0</v>
      </c>
      <c r="M59" s="86">
        <v>0.0</v>
      </c>
      <c r="N59" s="86">
        <v>-50.0</v>
      </c>
      <c r="O59" s="86">
        <v>-50.0</v>
      </c>
      <c r="P59" s="86">
        <v>-50.0</v>
      </c>
      <c r="Q59" s="86">
        <v>-50.0</v>
      </c>
      <c r="R59" s="86">
        <v>0.0</v>
      </c>
      <c r="S59" s="86">
        <v>0.0</v>
      </c>
      <c r="T59" s="86">
        <v>0.0</v>
      </c>
      <c r="U59" s="86">
        <v>0.0</v>
      </c>
      <c r="V59" s="86">
        <v>0.0</v>
      </c>
      <c r="W59" s="86">
        <v>0.0</v>
      </c>
      <c r="X59" s="2"/>
      <c r="Y59" s="2"/>
      <c r="Z59" s="2"/>
      <c r="AA59" s="2"/>
      <c r="AB59" s="2"/>
      <c r="AC59" s="2"/>
    </row>
    <row r="60">
      <c r="A60" s="113">
        <v>180.0</v>
      </c>
      <c r="B60" s="73" t="s">
        <v>407</v>
      </c>
      <c r="C60" s="73">
        <v>1.0</v>
      </c>
      <c r="D60" s="73" t="s">
        <v>12</v>
      </c>
      <c r="E60" s="125">
        <v>431.0</v>
      </c>
      <c r="F60" s="91" t="s">
        <v>38</v>
      </c>
      <c r="G60" s="91" t="s">
        <v>37</v>
      </c>
      <c r="H60" s="84" t="s">
        <v>404</v>
      </c>
      <c r="I60" s="86">
        <f>-31.19-31.19</f>
        <v>-62.38</v>
      </c>
      <c r="J60" s="86">
        <v>0.0</v>
      </c>
      <c r="K60" s="86">
        <f>-31.19-31.19</f>
        <v>-62.38</v>
      </c>
      <c r="L60" s="86">
        <f>-31.19</f>
        <v>-31.19</v>
      </c>
      <c r="M60" s="86">
        <v>0.0</v>
      </c>
      <c r="N60" s="86">
        <f t="shared" ref="N60:W60" si="6">-31.19</f>
        <v>-31.19</v>
      </c>
      <c r="O60" s="86">
        <f t="shared" si="6"/>
        <v>-31.19</v>
      </c>
      <c r="P60" s="86">
        <f t="shared" si="6"/>
        <v>-31.19</v>
      </c>
      <c r="Q60" s="86">
        <f t="shared" si="6"/>
        <v>-31.19</v>
      </c>
      <c r="R60" s="86">
        <f t="shared" si="6"/>
        <v>-31.19</v>
      </c>
      <c r="S60" s="86">
        <f t="shared" si="6"/>
        <v>-31.19</v>
      </c>
      <c r="T60" s="86">
        <f t="shared" si="6"/>
        <v>-31.19</v>
      </c>
      <c r="U60" s="86">
        <f t="shared" si="6"/>
        <v>-31.19</v>
      </c>
      <c r="V60" s="86">
        <f t="shared" si="6"/>
        <v>-31.19</v>
      </c>
      <c r="W60" s="86">
        <f t="shared" si="6"/>
        <v>-31.19</v>
      </c>
      <c r="X60" s="2"/>
      <c r="Y60" s="2"/>
      <c r="Z60" s="2"/>
      <c r="AA60" s="2"/>
      <c r="AB60" s="2"/>
      <c r="AC60" s="2"/>
    </row>
    <row r="61">
      <c r="A61" s="113">
        <v>28.0</v>
      </c>
      <c r="B61" s="73" t="s">
        <v>407</v>
      </c>
      <c r="C61" s="73">
        <v>1.0</v>
      </c>
      <c r="D61" s="73" t="s">
        <v>12</v>
      </c>
      <c r="E61" s="73">
        <v>320.0</v>
      </c>
      <c r="F61" s="72" t="s">
        <v>504</v>
      </c>
      <c r="G61" s="72" t="s">
        <v>45</v>
      </c>
      <c r="H61" s="84" t="s">
        <v>404</v>
      </c>
      <c r="I61" s="86">
        <v>-228.34</v>
      </c>
      <c r="J61" s="86">
        <v>-228.34</v>
      </c>
      <c r="K61" s="86">
        <v>-200.0</v>
      </c>
      <c r="L61" s="86">
        <v>-200.0</v>
      </c>
      <c r="M61" s="86">
        <v>-200.0</v>
      </c>
      <c r="N61" s="86">
        <v>-200.0</v>
      </c>
      <c r="O61" s="86">
        <v>-200.0</v>
      </c>
      <c r="P61" s="86">
        <v>-200.0</v>
      </c>
      <c r="Q61" s="86">
        <v>-200.0</v>
      </c>
      <c r="R61" s="86">
        <v>-200.0</v>
      </c>
      <c r="S61" s="86">
        <v>-200.0</v>
      </c>
      <c r="T61" s="86">
        <v>-200.0</v>
      </c>
      <c r="U61" s="86">
        <v>-200.0</v>
      </c>
      <c r="V61" s="86">
        <v>-200.0</v>
      </c>
      <c r="W61" s="86">
        <v>-200.0</v>
      </c>
      <c r="X61" s="2"/>
      <c r="Y61" s="122"/>
      <c r="Z61" s="123"/>
      <c r="AA61" s="122"/>
      <c r="AB61" s="2"/>
      <c r="AC61" s="2"/>
    </row>
    <row r="62">
      <c r="A62" s="113">
        <v>171.0</v>
      </c>
      <c r="B62" s="73" t="s">
        <v>407</v>
      </c>
      <c r="C62" s="73">
        <v>1.0</v>
      </c>
      <c r="D62" s="73" t="s">
        <v>12</v>
      </c>
      <c r="E62" s="73">
        <v>320.0</v>
      </c>
      <c r="F62" s="72" t="s">
        <v>505</v>
      </c>
      <c r="G62" s="72" t="s">
        <v>45</v>
      </c>
      <c r="H62" s="84" t="s">
        <v>404</v>
      </c>
      <c r="I62" s="86">
        <v>-280.0</v>
      </c>
      <c r="J62" s="86">
        <v>-324.84</v>
      </c>
      <c r="K62" s="86">
        <v>-324.84</v>
      </c>
      <c r="L62" s="86">
        <v>-324.84</v>
      </c>
      <c r="M62" s="86">
        <v>-324.84</v>
      </c>
      <c r="N62" s="86">
        <v>-324.84</v>
      </c>
      <c r="O62" s="86">
        <v>-324.84</v>
      </c>
      <c r="P62" s="86">
        <v>-324.84</v>
      </c>
      <c r="Q62" s="86">
        <v>-324.84</v>
      </c>
      <c r="R62" s="86">
        <v>-324.84</v>
      </c>
      <c r="S62" s="86">
        <v>-324.84</v>
      </c>
      <c r="T62" s="86">
        <v>-324.84</v>
      </c>
      <c r="U62" s="86">
        <v>-324.84</v>
      </c>
      <c r="V62" s="86">
        <v>-324.84</v>
      </c>
      <c r="W62" s="86">
        <v>-324.84</v>
      </c>
      <c r="X62" s="2"/>
      <c r="Y62" s="122"/>
      <c r="Z62" s="123"/>
      <c r="AA62" s="122"/>
      <c r="AB62" s="2"/>
      <c r="AC62" s="2"/>
    </row>
    <row r="63">
      <c r="A63" s="113">
        <v>140.0</v>
      </c>
      <c r="B63" s="73" t="s">
        <v>407</v>
      </c>
      <c r="C63" s="73">
        <v>1.0</v>
      </c>
      <c r="D63" s="73" t="s">
        <v>12</v>
      </c>
      <c r="E63" s="73">
        <v>320.0</v>
      </c>
      <c r="F63" s="72" t="s">
        <v>506</v>
      </c>
      <c r="G63" s="72" t="s">
        <v>45</v>
      </c>
      <c r="H63" s="84" t="s">
        <v>404</v>
      </c>
      <c r="I63" s="86">
        <v>-72.39</v>
      </c>
      <c r="J63" s="86">
        <v>-72.39</v>
      </c>
      <c r="K63" s="86">
        <v>-91.51</v>
      </c>
      <c r="L63" s="86">
        <v>-91.51</v>
      </c>
      <c r="M63" s="86">
        <v>-91.51</v>
      </c>
      <c r="N63" s="86">
        <v>-91.51</v>
      </c>
      <c r="O63" s="86">
        <v>-91.51</v>
      </c>
      <c r="P63" s="86">
        <v>-91.51</v>
      </c>
      <c r="Q63" s="86">
        <v>-91.51</v>
      </c>
      <c r="R63" s="86">
        <v>-91.51</v>
      </c>
      <c r="S63" s="86">
        <v>-91.51</v>
      </c>
      <c r="T63" s="86">
        <v>-91.51</v>
      </c>
      <c r="U63" s="86">
        <v>-91.51</v>
      </c>
      <c r="V63" s="86">
        <v>-91.51</v>
      </c>
      <c r="W63" s="86">
        <v>-91.51</v>
      </c>
      <c r="X63" s="2"/>
      <c r="Y63" s="122"/>
      <c r="Z63" s="123"/>
      <c r="AA63" s="122"/>
      <c r="AB63" s="2"/>
      <c r="AC63" s="2"/>
    </row>
    <row r="64">
      <c r="A64" s="113">
        <v>123.0</v>
      </c>
      <c r="B64" s="73" t="s">
        <v>407</v>
      </c>
      <c r="C64" s="73">
        <v>1.0</v>
      </c>
      <c r="D64" s="73" t="s">
        <v>12</v>
      </c>
      <c r="E64" s="73">
        <v>320.0</v>
      </c>
      <c r="F64" s="72" t="s">
        <v>507</v>
      </c>
      <c r="G64" s="72" t="s">
        <v>45</v>
      </c>
      <c r="H64" s="84" t="s">
        <v>404</v>
      </c>
      <c r="I64" s="86">
        <v>-126.96</v>
      </c>
      <c r="J64" s="86">
        <v>-126.96</v>
      </c>
      <c r="K64" s="86">
        <v>-126.96</v>
      </c>
      <c r="L64" s="86">
        <v>-126.96</v>
      </c>
      <c r="M64" s="86">
        <v>-85.5</v>
      </c>
      <c r="N64" s="86">
        <v>-85.5</v>
      </c>
      <c r="O64" s="86">
        <v>-85.5</v>
      </c>
      <c r="P64" s="86">
        <v>-85.5</v>
      </c>
      <c r="Q64" s="86">
        <v>-85.5</v>
      </c>
      <c r="R64" s="86">
        <v>-85.5</v>
      </c>
      <c r="S64" s="86">
        <v>-85.5</v>
      </c>
      <c r="T64" s="86">
        <v>-85.5</v>
      </c>
      <c r="U64" s="86">
        <v>-85.5</v>
      </c>
      <c r="V64" s="86">
        <v>-85.5</v>
      </c>
      <c r="W64" s="86">
        <v>-85.5</v>
      </c>
      <c r="X64" s="2"/>
      <c r="Y64" s="122"/>
      <c r="Z64" s="123"/>
      <c r="AA64" s="122"/>
      <c r="AB64" s="2"/>
      <c r="AC64" s="2"/>
    </row>
    <row r="65">
      <c r="A65" s="113">
        <v>128.0</v>
      </c>
      <c r="B65" s="73" t="s">
        <v>407</v>
      </c>
      <c r="C65" s="73">
        <v>1.0</v>
      </c>
      <c r="D65" s="73" t="s">
        <v>12</v>
      </c>
      <c r="E65" s="73">
        <v>320.0</v>
      </c>
      <c r="F65" s="72" t="s">
        <v>508</v>
      </c>
      <c r="G65" s="72" t="s">
        <v>45</v>
      </c>
      <c r="H65" s="84" t="s">
        <v>404</v>
      </c>
      <c r="I65" s="86">
        <v>-132.5</v>
      </c>
      <c r="J65" s="86">
        <v>-132.5</v>
      </c>
      <c r="K65" s="86">
        <v>-132.5</v>
      </c>
      <c r="L65" s="86">
        <v>-132.5</v>
      </c>
      <c r="M65" s="86">
        <v>-100.36</v>
      </c>
      <c r="N65" s="86">
        <v>-100.36</v>
      </c>
      <c r="O65" s="86">
        <v>-100.36</v>
      </c>
      <c r="P65" s="86">
        <v>-100.36</v>
      </c>
      <c r="Q65" s="86">
        <v>-100.36</v>
      </c>
      <c r="R65" s="86">
        <v>-100.36</v>
      </c>
      <c r="S65" s="86">
        <v>-100.36</v>
      </c>
      <c r="T65" s="86">
        <v>-100.36</v>
      </c>
      <c r="U65" s="86">
        <v>-100.36</v>
      </c>
      <c r="V65" s="86">
        <v>-100.36</v>
      </c>
      <c r="W65" s="86">
        <v>-100.36</v>
      </c>
      <c r="X65" s="2"/>
      <c r="Y65" s="122"/>
      <c r="Z65" s="123"/>
      <c r="AA65" s="122"/>
      <c r="AB65" s="2"/>
      <c r="AC65" s="2"/>
    </row>
    <row r="66">
      <c r="A66" s="113">
        <v>29.0</v>
      </c>
      <c r="B66" s="73" t="s">
        <v>407</v>
      </c>
      <c r="C66" s="73">
        <v>1.0</v>
      </c>
      <c r="D66" s="73" t="s">
        <v>12</v>
      </c>
      <c r="E66" s="73">
        <v>320.0</v>
      </c>
      <c r="F66" s="72" t="s">
        <v>509</v>
      </c>
      <c r="G66" s="72" t="s">
        <v>45</v>
      </c>
      <c r="H66" s="84" t="s">
        <v>404</v>
      </c>
      <c r="I66" s="86">
        <v>-361.96</v>
      </c>
      <c r="J66" s="86">
        <v>-361.96</v>
      </c>
      <c r="K66" s="86">
        <v>-200.0</v>
      </c>
      <c r="L66" s="86">
        <v>-200.0</v>
      </c>
      <c r="M66" s="86">
        <v>-200.0</v>
      </c>
      <c r="N66" s="86">
        <v>-200.0</v>
      </c>
      <c r="O66" s="86">
        <v>-200.0</v>
      </c>
      <c r="P66" s="86">
        <v>-200.0</v>
      </c>
      <c r="Q66" s="86">
        <v>-200.0</v>
      </c>
      <c r="R66" s="86">
        <v>-200.0</v>
      </c>
      <c r="S66" s="86">
        <v>-200.0</v>
      </c>
      <c r="T66" s="86">
        <v>-200.0</v>
      </c>
      <c r="U66" s="86">
        <v>-200.0</v>
      </c>
      <c r="V66" s="86">
        <v>-200.0</v>
      </c>
      <c r="W66" s="86">
        <v>-200.0</v>
      </c>
      <c r="X66" s="2"/>
      <c r="Y66" s="122"/>
      <c r="Z66" s="123"/>
      <c r="AA66" s="122"/>
      <c r="AB66" s="2"/>
      <c r="AC66" s="2"/>
    </row>
    <row r="67">
      <c r="A67" s="113">
        <v>30.0</v>
      </c>
      <c r="B67" s="73" t="s">
        <v>407</v>
      </c>
      <c r="C67" s="73">
        <v>1.0</v>
      </c>
      <c r="D67" s="73" t="s">
        <v>12</v>
      </c>
      <c r="E67" s="73">
        <v>320.0</v>
      </c>
      <c r="F67" s="72" t="s">
        <v>510</v>
      </c>
      <c r="G67" s="72" t="s">
        <v>45</v>
      </c>
      <c r="H67" s="84" t="s">
        <v>404</v>
      </c>
      <c r="I67" s="86">
        <v>-389.08</v>
      </c>
      <c r="J67" s="86">
        <v>-389.08</v>
      </c>
      <c r="K67" s="86">
        <v>-200.0</v>
      </c>
      <c r="L67" s="86">
        <v>-200.0</v>
      </c>
      <c r="M67" s="86">
        <v>-200.0</v>
      </c>
      <c r="N67" s="86">
        <v>-200.0</v>
      </c>
      <c r="O67" s="86">
        <v>-200.0</v>
      </c>
      <c r="P67" s="86">
        <v>-200.0</v>
      </c>
      <c r="Q67" s="86">
        <v>-200.0</v>
      </c>
      <c r="R67" s="86">
        <v>-200.0</v>
      </c>
      <c r="S67" s="86">
        <v>-200.0</v>
      </c>
      <c r="T67" s="86">
        <v>-200.0</v>
      </c>
      <c r="U67" s="86">
        <v>-200.0</v>
      </c>
      <c r="V67" s="86">
        <v>-200.0</v>
      </c>
      <c r="W67" s="86">
        <v>-200.0</v>
      </c>
      <c r="X67" s="2"/>
      <c r="Y67" s="122"/>
      <c r="Z67" s="123"/>
      <c r="AA67" s="122"/>
      <c r="AB67" s="2"/>
      <c r="AC67" s="2"/>
    </row>
    <row r="68">
      <c r="A68" s="113">
        <v>31.0</v>
      </c>
      <c r="B68" s="73" t="s">
        <v>407</v>
      </c>
      <c r="C68" s="73">
        <v>1.0</v>
      </c>
      <c r="D68" s="73" t="s">
        <v>12</v>
      </c>
      <c r="E68" s="73">
        <v>320.0</v>
      </c>
      <c r="F68" s="72" t="s">
        <v>511</v>
      </c>
      <c r="G68" s="72" t="s">
        <v>45</v>
      </c>
      <c r="H68" s="84" t="s">
        <v>404</v>
      </c>
      <c r="I68" s="86">
        <v>-289.09</v>
      </c>
      <c r="J68" s="86">
        <v>-289.09</v>
      </c>
      <c r="K68" s="86">
        <v>-200.0</v>
      </c>
      <c r="L68" s="86">
        <v>-200.0</v>
      </c>
      <c r="M68" s="86">
        <v>-200.0</v>
      </c>
      <c r="N68" s="86">
        <v>-200.0</v>
      </c>
      <c r="O68" s="86">
        <v>-200.0</v>
      </c>
      <c r="P68" s="86">
        <v>-200.0</v>
      </c>
      <c r="Q68" s="86">
        <v>-200.0</v>
      </c>
      <c r="R68" s="86">
        <v>-200.0</v>
      </c>
      <c r="S68" s="86">
        <v>-200.0</v>
      </c>
      <c r="T68" s="86">
        <v>-200.0</v>
      </c>
      <c r="U68" s="86">
        <v>-200.0</v>
      </c>
      <c r="V68" s="86">
        <v>-200.0</v>
      </c>
      <c r="W68" s="86">
        <v>-200.0</v>
      </c>
      <c r="X68" s="2"/>
      <c r="Y68" s="122"/>
      <c r="Z68" s="123"/>
      <c r="AA68" s="122"/>
      <c r="AB68" s="2"/>
      <c r="AC68" s="2"/>
    </row>
    <row r="69">
      <c r="A69" s="113">
        <v>173.0</v>
      </c>
      <c r="B69" s="73" t="s">
        <v>407</v>
      </c>
      <c r="C69" s="73">
        <v>1.0</v>
      </c>
      <c r="D69" s="73" t="s">
        <v>12</v>
      </c>
      <c r="E69" s="125">
        <v>320.0</v>
      </c>
      <c r="F69" s="91" t="s">
        <v>512</v>
      </c>
      <c r="G69" s="72" t="s">
        <v>45</v>
      </c>
      <c r="H69" s="84" t="s">
        <v>404</v>
      </c>
      <c r="I69" s="86">
        <v>-26.8</v>
      </c>
      <c r="J69" s="86">
        <v>-26.8</v>
      </c>
      <c r="K69" s="86">
        <v>-26.8</v>
      </c>
      <c r="L69" s="86">
        <v>-26.8</v>
      </c>
      <c r="M69" s="86">
        <v>-26.8</v>
      </c>
      <c r="N69" s="86">
        <v>-26.8</v>
      </c>
      <c r="O69" s="86">
        <v>-26.8</v>
      </c>
      <c r="P69" s="86">
        <v>-26.8</v>
      </c>
      <c r="Q69" s="86">
        <v>-26.8</v>
      </c>
      <c r="R69" s="86">
        <v>-26.8</v>
      </c>
      <c r="S69" s="86">
        <v>-26.8</v>
      </c>
      <c r="T69" s="86">
        <v>-26.8</v>
      </c>
      <c r="U69" s="86">
        <v>-26.8</v>
      </c>
      <c r="V69" s="86">
        <v>-26.8</v>
      </c>
      <c r="W69" s="86">
        <v>-26.8</v>
      </c>
      <c r="X69" s="2"/>
      <c r="Y69" s="122"/>
      <c r="Z69" s="123"/>
      <c r="AA69" s="122"/>
      <c r="AB69" s="2"/>
      <c r="AC69" s="2"/>
    </row>
    <row r="70">
      <c r="A70" s="113">
        <v>174.0</v>
      </c>
      <c r="B70" s="73" t="s">
        <v>407</v>
      </c>
      <c r="C70" s="73">
        <v>1.0</v>
      </c>
      <c r="D70" s="73" t="s">
        <v>12</v>
      </c>
      <c r="E70" s="125">
        <v>320.0</v>
      </c>
      <c r="F70" s="91" t="s">
        <v>513</v>
      </c>
      <c r="G70" s="72" t="s">
        <v>45</v>
      </c>
      <c r="H70" s="84" t="s">
        <v>404</v>
      </c>
      <c r="I70" s="86">
        <v>-57.54</v>
      </c>
      <c r="J70" s="86">
        <v>-101.98</v>
      </c>
      <c r="K70" s="86">
        <v>-101.98</v>
      </c>
      <c r="L70" s="86">
        <v>-101.98</v>
      </c>
      <c r="M70" s="86">
        <v>-101.98</v>
      </c>
      <c r="N70" s="86">
        <v>-101.98</v>
      </c>
      <c r="O70" s="86">
        <v>-101.98</v>
      </c>
      <c r="P70" s="86">
        <v>-101.98</v>
      </c>
      <c r="Q70" s="86">
        <v>-101.98</v>
      </c>
      <c r="R70" s="86">
        <v>-101.98</v>
      </c>
      <c r="S70" s="86">
        <v>-101.98</v>
      </c>
      <c r="T70" s="86">
        <v>-101.98</v>
      </c>
      <c r="U70" s="86">
        <v>-101.98</v>
      </c>
      <c r="V70" s="86">
        <v>-101.98</v>
      </c>
      <c r="W70" s="86">
        <v>-101.98</v>
      </c>
      <c r="X70" s="2"/>
      <c r="Y70" s="122"/>
      <c r="Z70" s="123"/>
      <c r="AA70" s="122"/>
      <c r="AB70" s="2"/>
      <c r="AC70" s="2"/>
    </row>
    <row r="71">
      <c r="A71" s="113">
        <v>73.0</v>
      </c>
      <c r="B71" s="73" t="s">
        <v>407</v>
      </c>
      <c r="C71" s="73">
        <v>1.0</v>
      </c>
      <c r="D71" s="73" t="s">
        <v>12</v>
      </c>
      <c r="E71" s="73">
        <v>321.0</v>
      </c>
      <c r="F71" s="72" t="s">
        <v>514</v>
      </c>
      <c r="G71" s="72" t="s">
        <v>100</v>
      </c>
      <c r="H71" s="84" t="s">
        <v>404</v>
      </c>
      <c r="I71" s="86">
        <v>-69.75</v>
      </c>
      <c r="J71" s="86">
        <v>-69.75</v>
      </c>
      <c r="K71" s="86">
        <v>-69.75</v>
      </c>
      <c r="L71" s="86">
        <v>-111.01</v>
      </c>
      <c r="M71" s="86">
        <v>-111.01</v>
      </c>
      <c r="N71" s="86">
        <v>-111.01</v>
      </c>
      <c r="O71" s="86">
        <v>-111.01</v>
      </c>
      <c r="P71" s="86">
        <v>-111.01</v>
      </c>
      <c r="Q71" s="86">
        <v>-111.01</v>
      </c>
      <c r="R71" s="86">
        <v>-111.01</v>
      </c>
      <c r="S71" s="86">
        <v>-111.01</v>
      </c>
      <c r="T71" s="86">
        <v>-111.01</v>
      </c>
      <c r="U71" s="86">
        <v>-111.01</v>
      </c>
      <c r="V71" s="86">
        <v>-111.01</v>
      </c>
      <c r="W71" s="86">
        <v>-111.01</v>
      </c>
      <c r="X71" s="2"/>
      <c r="Y71" s="122"/>
      <c r="Z71" s="123"/>
      <c r="AA71" s="122"/>
      <c r="AB71" s="2"/>
      <c r="AC71" s="2"/>
    </row>
    <row r="72">
      <c r="A72" s="113">
        <v>74.0</v>
      </c>
      <c r="B72" s="73" t="s">
        <v>407</v>
      </c>
      <c r="C72" s="73">
        <v>1.0</v>
      </c>
      <c r="D72" s="73" t="s">
        <v>12</v>
      </c>
      <c r="E72" s="73">
        <v>321.0</v>
      </c>
      <c r="F72" s="91" t="s">
        <v>515</v>
      </c>
      <c r="G72" s="72" t="s">
        <v>100</v>
      </c>
      <c r="H72" s="126"/>
      <c r="I72" s="92">
        <v>-115.61</v>
      </c>
      <c r="J72" s="92">
        <v>-115.61</v>
      </c>
      <c r="K72" s="92">
        <v>-115.61</v>
      </c>
      <c r="L72" s="92">
        <v>-115.61</v>
      </c>
      <c r="M72" s="92">
        <v>-115.61</v>
      </c>
      <c r="N72" s="86">
        <v>0.0</v>
      </c>
      <c r="O72" s="92">
        <v>-115.61</v>
      </c>
      <c r="P72" s="92">
        <v>-115.61</v>
      </c>
      <c r="Q72" s="92">
        <v>-115.61</v>
      </c>
      <c r="R72" s="92">
        <v>-115.61</v>
      </c>
      <c r="S72" s="92">
        <v>-115.61</v>
      </c>
      <c r="T72" s="92">
        <v>-115.61</v>
      </c>
      <c r="U72" s="92">
        <v>-115.61</v>
      </c>
      <c r="V72" s="92">
        <v>-115.61</v>
      </c>
      <c r="W72" s="92">
        <v>-115.61</v>
      </c>
      <c r="X72" s="2"/>
      <c r="Y72" s="122"/>
      <c r="Z72" s="123"/>
      <c r="AA72" s="122"/>
      <c r="AB72" s="2"/>
      <c r="AC72" s="2"/>
    </row>
    <row r="73">
      <c r="A73" s="113">
        <v>75.0</v>
      </c>
      <c r="B73" s="73" t="s">
        <v>407</v>
      </c>
      <c r="C73" s="73">
        <v>1.0</v>
      </c>
      <c r="D73" s="73" t="s">
        <v>12</v>
      </c>
      <c r="E73" s="73">
        <v>321.0</v>
      </c>
      <c r="F73" s="72" t="s">
        <v>516</v>
      </c>
      <c r="G73" s="72" t="s">
        <v>100</v>
      </c>
      <c r="H73" s="84" t="s">
        <v>404</v>
      </c>
      <c r="I73" s="86">
        <v>-40.26</v>
      </c>
      <c r="J73" s="86">
        <v>-40.26</v>
      </c>
      <c r="K73" s="86">
        <v>-63.81</v>
      </c>
      <c r="L73" s="86">
        <v>-48.19</v>
      </c>
      <c r="M73" s="86">
        <v>-48.19</v>
      </c>
      <c r="N73" s="86">
        <v>-48.19</v>
      </c>
      <c r="O73" s="86">
        <v>-48.19</v>
      </c>
      <c r="P73" s="86">
        <v>-48.19</v>
      </c>
      <c r="Q73" s="86">
        <v>-48.19</v>
      </c>
      <c r="R73" s="86">
        <v>-48.19</v>
      </c>
      <c r="S73" s="86">
        <v>-48.19</v>
      </c>
      <c r="T73" s="86">
        <v>-48.19</v>
      </c>
      <c r="U73" s="86">
        <v>-48.19</v>
      </c>
      <c r="V73" s="86">
        <v>-48.19</v>
      </c>
      <c r="W73" s="86">
        <v>-48.19</v>
      </c>
      <c r="X73" s="2"/>
      <c r="Y73" s="122"/>
      <c r="Z73" s="123"/>
      <c r="AA73" s="122"/>
      <c r="AB73" s="2"/>
      <c r="AC73" s="2"/>
    </row>
    <row r="74">
      <c r="A74" s="113">
        <v>76.0</v>
      </c>
      <c r="B74" s="73" t="s">
        <v>407</v>
      </c>
      <c r="C74" s="73">
        <v>1.0</v>
      </c>
      <c r="D74" s="73" t="s">
        <v>12</v>
      </c>
      <c r="E74" s="73">
        <v>321.0</v>
      </c>
      <c r="F74" s="72" t="s">
        <v>517</v>
      </c>
      <c r="G74" s="72" t="s">
        <v>100</v>
      </c>
      <c r="H74" s="84" t="s">
        <v>404</v>
      </c>
      <c r="I74" s="86">
        <v>-42.03</v>
      </c>
      <c r="J74" s="86">
        <v>-42.03</v>
      </c>
      <c r="K74" s="86">
        <v>-42.03</v>
      </c>
      <c r="L74" s="86">
        <v>-46.91</v>
      </c>
      <c r="M74" s="86">
        <v>-46.91</v>
      </c>
      <c r="N74" s="86">
        <v>-46.91</v>
      </c>
      <c r="O74" s="86">
        <v>-46.91</v>
      </c>
      <c r="P74" s="86">
        <v>-46.91</v>
      </c>
      <c r="Q74" s="86">
        <v>-46.91</v>
      </c>
      <c r="R74" s="86">
        <v>-46.91</v>
      </c>
      <c r="S74" s="86">
        <v>-46.91</v>
      </c>
      <c r="T74" s="86">
        <v>-46.91</v>
      </c>
      <c r="U74" s="86">
        <v>-46.91</v>
      </c>
      <c r="V74" s="86">
        <v>-46.91</v>
      </c>
      <c r="W74" s="86">
        <v>-46.91</v>
      </c>
      <c r="X74" s="2"/>
      <c r="Y74" s="122"/>
      <c r="Z74" s="123"/>
      <c r="AA74" s="122"/>
      <c r="AB74" s="2"/>
      <c r="AC74" s="2"/>
    </row>
    <row r="75">
      <c r="A75" s="113">
        <v>77.0</v>
      </c>
      <c r="B75" s="73" t="s">
        <v>407</v>
      </c>
      <c r="C75" s="73">
        <v>1.0</v>
      </c>
      <c r="D75" s="73" t="s">
        <v>12</v>
      </c>
      <c r="E75" s="73">
        <v>321.0</v>
      </c>
      <c r="F75" s="72" t="s">
        <v>518</v>
      </c>
      <c r="G75" s="72" t="s">
        <v>100</v>
      </c>
      <c r="H75" s="84" t="s">
        <v>404</v>
      </c>
      <c r="I75" s="86">
        <v>-25.25</v>
      </c>
      <c r="J75" s="86">
        <v>-25.25</v>
      </c>
      <c r="K75" s="86">
        <v>-35.69</v>
      </c>
      <c r="L75" s="86">
        <v>-20.4</v>
      </c>
      <c r="M75" s="86">
        <v>-20.4</v>
      </c>
      <c r="N75" s="86">
        <v>-20.4</v>
      </c>
      <c r="O75" s="86">
        <v>-20.4</v>
      </c>
      <c r="P75" s="86">
        <v>-20.4</v>
      </c>
      <c r="Q75" s="86">
        <v>-20.4</v>
      </c>
      <c r="R75" s="86">
        <v>-20.4</v>
      </c>
      <c r="S75" s="86">
        <v>-20.4</v>
      </c>
      <c r="T75" s="86">
        <v>-20.4</v>
      </c>
      <c r="U75" s="86">
        <v>-20.4</v>
      </c>
      <c r="V75" s="86">
        <v>-20.4</v>
      </c>
      <c r="W75" s="86">
        <v>-20.4</v>
      </c>
      <c r="X75" s="2"/>
      <c r="Y75" s="122"/>
      <c r="Z75" s="123"/>
      <c r="AA75" s="122"/>
      <c r="AB75" s="2"/>
      <c r="AC75" s="2"/>
    </row>
    <row r="76">
      <c r="A76" s="113">
        <v>81.0</v>
      </c>
      <c r="B76" s="73" t="s">
        <v>407</v>
      </c>
      <c r="C76" s="73">
        <v>1.0</v>
      </c>
      <c r="D76" s="73" t="s">
        <v>12</v>
      </c>
      <c r="E76" s="73">
        <v>321.0</v>
      </c>
      <c r="F76" s="72" t="s">
        <v>519</v>
      </c>
      <c r="G76" s="72" t="s">
        <v>100</v>
      </c>
      <c r="H76" s="84" t="s">
        <v>404</v>
      </c>
      <c r="I76" s="86">
        <v>0.0</v>
      </c>
      <c r="J76" s="86">
        <v>-29.49</v>
      </c>
      <c r="K76" s="86">
        <v>-29.49</v>
      </c>
      <c r="L76" s="86">
        <v>-29.49</v>
      </c>
      <c r="M76" s="86">
        <v>-29.49</v>
      </c>
      <c r="N76" s="86">
        <v>-29.49</v>
      </c>
      <c r="O76" s="86">
        <v>-29.49</v>
      </c>
      <c r="P76" s="86">
        <v>-29.49</v>
      </c>
      <c r="Q76" s="86">
        <v>-29.49</v>
      </c>
      <c r="R76" s="86">
        <v>-29.49</v>
      </c>
      <c r="S76" s="86">
        <v>-29.49</v>
      </c>
      <c r="T76" s="86">
        <v>-29.49</v>
      </c>
      <c r="U76" s="86">
        <v>-29.49</v>
      </c>
      <c r="V76" s="86">
        <v>-29.49</v>
      </c>
      <c r="W76" s="86">
        <v>-29.49</v>
      </c>
      <c r="X76" s="2"/>
      <c r="Y76" s="122"/>
      <c r="Z76" s="123"/>
      <c r="AA76" s="122"/>
      <c r="AB76" s="2"/>
      <c r="AC76" s="2"/>
    </row>
    <row r="77">
      <c r="A77" s="113">
        <v>82.0</v>
      </c>
      <c r="B77" s="73" t="s">
        <v>407</v>
      </c>
      <c r="C77" s="73">
        <v>1.0</v>
      </c>
      <c r="D77" s="73" t="s">
        <v>12</v>
      </c>
      <c r="E77" s="73">
        <v>321.0</v>
      </c>
      <c r="F77" s="72" t="s">
        <v>520</v>
      </c>
      <c r="G77" s="72" t="s">
        <v>100</v>
      </c>
      <c r="H77" s="84" t="s">
        <v>404</v>
      </c>
      <c r="I77" s="86">
        <v>0.0</v>
      </c>
      <c r="J77" s="86">
        <v>-29.66</v>
      </c>
      <c r="K77" s="86">
        <v>-29.66</v>
      </c>
      <c r="L77" s="86">
        <v>-29.66</v>
      </c>
      <c r="M77" s="86">
        <v>-29.66</v>
      </c>
      <c r="N77" s="86">
        <v>-29.66</v>
      </c>
      <c r="O77" s="86">
        <v>-29.66</v>
      </c>
      <c r="P77" s="86">
        <v>-29.66</v>
      </c>
      <c r="Q77" s="86">
        <v>-29.66</v>
      </c>
      <c r="R77" s="86">
        <v>-29.66</v>
      </c>
      <c r="S77" s="86">
        <v>-29.66</v>
      </c>
      <c r="T77" s="86">
        <v>-29.66</v>
      </c>
      <c r="U77" s="86">
        <v>-29.66</v>
      </c>
      <c r="V77" s="86">
        <v>-29.66</v>
      </c>
      <c r="W77" s="86">
        <v>-29.66</v>
      </c>
      <c r="X77" s="2"/>
      <c r="Y77" s="122"/>
      <c r="Z77" s="123"/>
      <c r="AA77" s="122"/>
      <c r="AB77" s="2"/>
      <c r="AC77" s="2"/>
    </row>
    <row r="78">
      <c r="A78" s="113">
        <v>83.0</v>
      </c>
      <c r="B78" s="73" t="s">
        <v>407</v>
      </c>
      <c r="C78" s="73">
        <v>1.0</v>
      </c>
      <c r="D78" s="73" t="s">
        <v>12</v>
      </c>
      <c r="E78" s="73">
        <v>321.0</v>
      </c>
      <c r="F78" s="72" t="s">
        <v>108</v>
      </c>
      <c r="G78" s="72" t="s">
        <v>100</v>
      </c>
      <c r="H78" s="127"/>
      <c r="I78" s="86">
        <v>0.0</v>
      </c>
      <c r="J78" s="86">
        <v>0.0</v>
      </c>
      <c r="K78" s="86"/>
      <c r="L78" s="86"/>
      <c r="M78" s="86"/>
      <c r="N78" s="86"/>
      <c r="O78" s="86"/>
      <c r="P78" s="86"/>
      <c r="Q78" s="86"/>
      <c r="R78" s="86"/>
      <c r="S78" s="86"/>
      <c r="T78" s="86"/>
      <c r="U78" s="86"/>
      <c r="V78" s="86"/>
      <c r="W78" s="86"/>
      <c r="X78" s="2"/>
      <c r="Y78" s="122"/>
      <c r="Z78" s="123"/>
      <c r="AA78" s="122"/>
      <c r="AB78" s="2"/>
      <c r="AC78" s="2"/>
    </row>
    <row r="79">
      <c r="A79" s="113">
        <v>84.0</v>
      </c>
      <c r="B79" s="73" t="s">
        <v>407</v>
      </c>
      <c r="C79" s="73">
        <v>1.0</v>
      </c>
      <c r="D79" s="73" t="s">
        <v>12</v>
      </c>
      <c r="E79" s="73">
        <v>321.0</v>
      </c>
      <c r="F79" s="72" t="s">
        <v>521</v>
      </c>
      <c r="G79" s="72" t="s">
        <v>100</v>
      </c>
      <c r="H79" s="84" t="s">
        <v>404</v>
      </c>
      <c r="I79" s="86">
        <f>-10.12-4.37</f>
        <v>-14.49</v>
      </c>
      <c r="J79" s="86">
        <v>-10.12</v>
      </c>
      <c r="K79" s="86">
        <v>-10.12</v>
      </c>
      <c r="L79" s="86">
        <v>-10.12</v>
      </c>
      <c r="M79" s="86">
        <v>-10.12</v>
      </c>
      <c r="N79" s="86">
        <v>-10.12</v>
      </c>
      <c r="O79" s="86">
        <v>-10.12</v>
      </c>
      <c r="P79" s="86">
        <v>-10.12</v>
      </c>
      <c r="Q79" s="86">
        <v>-10.12</v>
      </c>
      <c r="R79" s="86">
        <v>-10.12</v>
      </c>
      <c r="S79" s="86">
        <v>-10.12</v>
      </c>
      <c r="T79" s="86">
        <v>-10.12</v>
      </c>
      <c r="U79" s="86">
        <v>-10.12</v>
      </c>
      <c r="V79" s="86">
        <v>-10.12</v>
      </c>
      <c r="W79" s="86">
        <v>-10.12</v>
      </c>
      <c r="X79" s="2"/>
      <c r="Y79" s="122"/>
      <c r="Z79" s="123"/>
      <c r="AA79" s="122"/>
      <c r="AB79" s="2"/>
      <c r="AC79" s="2"/>
    </row>
    <row r="80">
      <c r="A80" s="113">
        <v>78.0</v>
      </c>
      <c r="B80" s="73" t="s">
        <v>407</v>
      </c>
      <c r="C80" s="73">
        <v>1.0</v>
      </c>
      <c r="D80" s="73" t="s">
        <v>12</v>
      </c>
      <c r="E80" s="73">
        <v>321.0</v>
      </c>
      <c r="F80" s="72" t="s">
        <v>522</v>
      </c>
      <c r="G80" s="72" t="s">
        <v>100</v>
      </c>
      <c r="H80" s="84" t="s">
        <v>404</v>
      </c>
      <c r="I80" s="86">
        <v>-128.6</v>
      </c>
      <c r="J80" s="86">
        <v>-128.6</v>
      </c>
      <c r="K80" s="86">
        <v>-128.6</v>
      </c>
      <c r="L80" s="86">
        <v>-76.24</v>
      </c>
      <c r="M80" s="86">
        <v>-76.24</v>
      </c>
      <c r="N80" s="86">
        <v>-76.24</v>
      </c>
      <c r="O80" s="86">
        <v>-76.24</v>
      </c>
      <c r="P80" s="86">
        <v>-76.24</v>
      </c>
      <c r="Q80" s="86">
        <v>-76.24</v>
      </c>
      <c r="R80" s="86">
        <v>-76.24</v>
      </c>
      <c r="S80" s="86">
        <v>-76.24</v>
      </c>
      <c r="T80" s="86">
        <v>-76.24</v>
      </c>
      <c r="U80" s="86">
        <v>-76.24</v>
      </c>
      <c r="V80" s="86">
        <v>-76.24</v>
      </c>
      <c r="W80" s="86">
        <v>-76.24</v>
      </c>
      <c r="X80" s="2"/>
      <c r="Y80" s="122"/>
      <c r="Z80" s="123"/>
      <c r="AA80" s="122"/>
      <c r="AB80" s="2"/>
      <c r="AC80" s="2"/>
    </row>
    <row r="81">
      <c r="A81" s="113">
        <v>79.0</v>
      </c>
      <c r="B81" s="73" t="s">
        <v>407</v>
      </c>
      <c r="C81" s="73">
        <v>1.0</v>
      </c>
      <c r="D81" s="73" t="s">
        <v>12</v>
      </c>
      <c r="E81" s="73">
        <v>321.0</v>
      </c>
      <c r="F81" s="72" t="s">
        <v>523</v>
      </c>
      <c r="G81" s="72" t="s">
        <v>100</v>
      </c>
      <c r="H81" s="126"/>
      <c r="I81" s="92">
        <v>-123.85</v>
      </c>
      <c r="J81" s="92">
        <v>-123.85</v>
      </c>
      <c r="K81" s="92">
        <v>-123.85</v>
      </c>
      <c r="L81" s="92">
        <v>0.0</v>
      </c>
      <c r="M81" s="92">
        <v>0.0</v>
      </c>
      <c r="N81" s="86">
        <v>0.0</v>
      </c>
      <c r="O81" s="92">
        <v>-123.85</v>
      </c>
      <c r="P81" s="92">
        <v>-123.85</v>
      </c>
      <c r="Q81" s="92">
        <v>-123.85</v>
      </c>
      <c r="R81" s="92">
        <v>-123.85</v>
      </c>
      <c r="S81" s="92">
        <v>-123.85</v>
      </c>
      <c r="T81" s="92">
        <v>-123.85</v>
      </c>
      <c r="U81" s="92">
        <v>-123.85</v>
      </c>
      <c r="V81" s="92">
        <v>-123.85</v>
      </c>
      <c r="W81" s="92">
        <v>-123.85</v>
      </c>
      <c r="X81" s="2"/>
      <c r="Y81" s="2"/>
      <c r="Z81" s="2"/>
      <c r="AA81" s="2"/>
      <c r="AB81" s="2"/>
      <c r="AC81" s="2"/>
    </row>
    <row r="82">
      <c r="A82" s="113">
        <v>80.0</v>
      </c>
      <c r="B82" s="73" t="s">
        <v>407</v>
      </c>
      <c r="C82" s="73">
        <v>1.0</v>
      </c>
      <c r="D82" s="73" t="s">
        <v>12</v>
      </c>
      <c r="E82" s="73">
        <v>321.0</v>
      </c>
      <c r="F82" s="72" t="s">
        <v>524</v>
      </c>
      <c r="G82" s="72" t="s">
        <v>100</v>
      </c>
      <c r="H82" s="84" t="s">
        <v>404</v>
      </c>
      <c r="I82" s="86">
        <v>-82.68</v>
      </c>
      <c r="J82" s="86">
        <v>-82.68</v>
      </c>
      <c r="K82" s="86">
        <v>-82.68</v>
      </c>
      <c r="L82" s="86">
        <v>-82.68</v>
      </c>
      <c r="M82" s="86">
        <v>-82.68</v>
      </c>
      <c r="N82" s="86">
        <v>-82.68</v>
      </c>
      <c r="O82" s="86">
        <v>-82.68</v>
      </c>
      <c r="P82" s="86">
        <v>-82.68</v>
      </c>
      <c r="Q82" s="86">
        <v>-82.68</v>
      </c>
      <c r="R82" s="86">
        <v>-82.68</v>
      </c>
      <c r="S82" s="86">
        <v>-82.68</v>
      </c>
      <c r="T82" s="86">
        <v>-82.68</v>
      </c>
      <c r="U82" s="86">
        <v>-82.68</v>
      </c>
      <c r="V82" s="86">
        <v>-82.68</v>
      </c>
      <c r="W82" s="86">
        <v>-82.68</v>
      </c>
      <c r="X82" s="2"/>
      <c r="Y82" s="2"/>
      <c r="Z82" s="2"/>
      <c r="AA82" s="2"/>
      <c r="AB82" s="2"/>
      <c r="AC82" s="2"/>
    </row>
    <row r="83">
      <c r="A83" s="113">
        <v>26.0</v>
      </c>
      <c r="B83" s="73" t="s">
        <v>407</v>
      </c>
      <c r="C83" s="73">
        <v>1.0</v>
      </c>
      <c r="D83" s="73" t="s">
        <v>12</v>
      </c>
      <c r="E83" s="73">
        <v>324.0</v>
      </c>
      <c r="F83" s="72" t="s">
        <v>525</v>
      </c>
      <c r="G83" s="72" t="s">
        <v>41</v>
      </c>
      <c r="H83" s="84" t="s">
        <v>404</v>
      </c>
      <c r="I83" s="86">
        <v>-5.99</v>
      </c>
      <c r="J83" s="86">
        <v>-5.99</v>
      </c>
      <c r="K83" s="86">
        <v>-5.99</v>
      </c>
      <c r="L83" s="86">
        <v>-5.99</v>
      </c>
      <c r="M83" s="86">
        <v>-5.99</v>
      </c>
      <c r="N83" s="86">
        <v>-5.99</v>
      </c>
      <c r="O83" s="86">
        <v>-5.99</v>
      </c>
      <c r="P83" s="86">
        <v>-5.99</v>
      </c>
      <c r="Q83" s="86">
        <v>-5.99</v>
      </c>
      <c r="R83" s="86">
        <v>-5.99</v>
      </c>
      <c r="S83" s="86">
        <v>-5.99</v>
      </c>
      <c r="T83" s="86">
        <v>-5.99</v>
      </c>
      <c r="U83" s="86">
        <v>-5.99</v>
      </c>
      <c r="V83" s="86">
        <v>-5.99</v>
      </c>
      <c r="W83" s="86">
        <v>-5.99</v>
      </c>
      <c r="X83" s="2"/>
      <c r="Y83" s="2"/>
      <c r="Z83" s="2"/>
      <c r="AA83" s="2"/>
      <c r="AB83" s="2"/>
      <c r="AC83" s="2"/>
    </row>
    <row r="84">
      <c r="A84" s="113">
        <v>27.0</v>
      </c>
      <c r="B84" s="73" t="s">
        <v>407</v>
      </c>
      <c r="C84" s="73">
        <v>1.0</v>
      </c>
      <c r="D84" s="73" t="s">
        <v>43</v>
      </c>
      <c r="E84" s="73">
        <v>324.0</v>
      </c>
      <c r="F84" s="72" t="s">
        <v>526</v>
      </c>
      <c r="G84" s="72" t="s">
        <v>41</v>
      </c>
      <c r="H84" s="84" t="s">
        <v>404</v>
      </c>
      <c r="I84" s="86">
        <v>-5.99</v>
      </c>
      <c r="J84" s="86">
        <v>-5.99</v>
      </c>
      <c r="K84" s="86">
        <v>-5.99</v>
      </c>
      <c r="L84" s="86">
        <v>-5.99</v>
      </c>
      <c r="M84" s="86">
        <v>-5.99</v>
      </c>
      <c r="N84" s="86">
        <v>-5.99</v>
      </c>
      <c r="O84" s="86">
        <v>-5.99</v>
      </c>
      <c r="P84" s="86">
        <v>-5.99</v>
      </c>
      <c r="Q84" s="86">
        <v>-5.99</v>
      </c>
      <c r="R84" s="86">
        <v>-5.99</v>
      </c>
      <c r="S84" s="86">
        <v>-5.99</v>
      </c>
      <c r="T84" s="86">
        <v>-5.99</v>
      </c>
      <c r="U84" s="86">
        <v>-5.99</v>
      </c>
      <c r="V84" s="86">
        <v>-5.99</v>
      </c>
      <c r="W84" s="86">
        <v>-5.99</v>
      </c>
      <c r="X84" s="2"/>
      <c r="Y84" s="2"/>
      <c r="Z84" s="2"/>
      <c r="AA84" s="2"/>
      <c r="AB84" s="2"/>
      <c r="AC84" s="2"/>
    </row>
    <row r="85">
      <c r="A85" s="113">
        <v>12.0</v>
      </c>
      <c r="B85" s="73" t="s">
        <v>407</v>
      </c>
      <c r="C85" s="73">
        <v>1.0</v>
      </c>
      <c r="D85" s="73" t="s">
        <v>12</v>
      </c>
      <c r="E85" s="73">
        <v>326.0</v>
      </c>
      <c r="F85" s="72" t="s">
        <v>17</v>
      </c>
      <c r="G85" s="72" t="s">
        <v>16</v>
      </c>
      <c r="H85" s="128" t="s">
        <v>404</v>
      </c>
      <c r="I85" s="86">
        <v>-117.7</v>
      </c>
      <c r="J85" s="86">
        <v>-117.7</v>
      </c>
      <c r="K85" s="86">
        <v>-117.7</v>
      </c>
      <c r="L85" s="86">
        <v>-117.7</v>
      </c>
      <c r="M85" s="86">
        <v>-117.7</v>
      </c>
      <c r="N85" s="86">
        <v>-117.7</v>
      </c>
      <c r="O85" s="86">
        <f t="shared" ref="O85:W85" si="7">1.05*-117.7</f>
        <v>-123.585</v>
      </c>
      <c r="P85" s="86">
        <f t="shared" si="7"/>
        <v>-123.585</v>
      </c>
      <c r="Q85" s="86">
        <f t="shared" si="7"/>
        <v>-123.585</v>
      </c>
      <c r="R85" s="86">
        <f t="shared" si="7"/>
        <v>-123.585</v>
      </c>
      <c r="S85" s="86">
        <f t="shared" si="7"/>
        <v>-123.585</v>
      </c>
      <c r="T85" s="86">
        <f t="shared" si="7"/>
        <v>-123.585</v>
      </c>
      <c r="U85" s="86">
        <f t="shared" si="7"/>
        <v>-123.585</v>
      </c>
      <c r="V85" s="86">
        <f t="shared" si="7"/>
        <v>-123.585</v>
      </c>
      <c r="W85" s="86">
        <f t="shared" si="7"/>
        <v>-123.585</v>
      </c>
      <c r="X85" s="2"/>
      <c r="Y85" s="2"/>
      <c r="Z85" s="2"/>
      <c r="AA85" s="2"/>
      <c r="AB85" s="2"/>
      <c r="AC85" s="2"/>
    </row>
    <row r="86">
      <c r="A86" s="113">
        <v>13.0</v>
      </c>
      <c r="B86" s="73" t="s">
        <v>407</v>
      </c>
      <c r="C86" s="73">
        <v>1.0</v>
      </c>
      <c r="D86" s="73" t="s">
        <v>12</v>
      </c>
      <c r="E86" s="73">
        <v>326.0</v>
      </c>
      <c r="F86" s="72" t="s">
        <v>18</v>
      </c>
      <c r="G86" s="72" t="s">
        <v>16</v>
      </c>
      <c r="H86" s="129"/>
      <c r="I86" s="86">
        <v>-117.7</v>
      </c>
      <c r="J86" s="86">
        <v>-117.7</v>
      </c>
      <c r="K86" s="86">
        <v>-117.7</v>
      </c>
      <c r="L86" s="86">
        <v>-117.7</v>
      </c>
      <c r="M86" s="86">
        <v>-117.7</v>
      </c>
      <c r="N86" s="86">
        <v>-117.7</v>
      </c>
      <c r="O86" s="86">
        <f t="shared" ref="O86:W86" si="8">1.05*-117.7</f>
        <v>-123.585</v>
      </c>
      <c r="P86" s="86">
        <f t="shared" si="8"/>
        <v>-123.585</v>
      </c>
      <c r="Q86" s="86">
        <f t="shared" si="8"/>
        <v>-123.585</v>
      </c>
      <c r="R86" s="86">
        <f t="shared" si="8"/>
        <v>-123.585</v>
      </c>
      <c r="S86" s="86">
        <f t="shared" si="8"/>
        <v>-123.585</v>
      </c>
      <c r="T86" s="86">
        <f t="shared" si="8"/>
        <v>-123.585</v>
      </c>
      <c r="U86" s="86">
        <f t="shared" si="8"/>
        <v>-123.585</v>
      </c>
      <c r="V86" s="86">
        <f t="shared" si="8"/>
        <v>-123.585</v>
      </c>
      <c r="W86" s="86">
        <f t="shared" si="8"/>
        <v>-123.585</v>
      </c>
      <c r="X86" s="2"/>
      <c r="Y86" s="2"/>
      <c r="Z86" s="2"/>
      <c r="AA86" s="2"/>
      <c r="AB86" s="2"/>
      <c r="AC86" s="2"/>
    </row>
    <row r="87">
      <c r="A87" s="113">
        <v>14.0</v>
      </c>
      <c r="B87" s="73" t="s">
        <v>407</v>
      </c>
      <c r="C87" s="73">
        <v>1.0</v>
      </c>
      <c r="D87" s="73" t="s">
        <v>12</v>
      </c>
      <c r="E87" s="73">
        <v>326.0</v>
      </c>
      <c r="F87" s="72" t="s">
        <v>19</v>
      </c>
      <c r="G87" s="72" t="s">
        <v>16</v>
      </c>
      <c r="H87" s="129"/>
      <c r="I87" s="86">
        <v>-76.17</v>
      </c>
      <c r="J87" s="86">
        <v>-76.17</v>
      </c>
      <c r="K87" s="86">
        <v>-76.17</v>
      </c>
      <c r="L87" s="86">
        <v>-76.17</v>
      </c>
      <c r="M87" s="86">
        <v>-76.17</v>
      </c>
      <c r="N87" s="86">
        <v>-76.17</v>
      </c>
      <c r="O87" s="86">
        <f t="shared" ref="O87:W87" si="9">1.05*-76.17</f>
        <v>-79.9785</v>
      </c>
      <c r="P87" s="86">
        <f t="shared" si="9"/>
        <v>-79.9785</v>
      </c>
      <c r="Q87" s="86">
        <f t="shared" si="9"/>
        <v>-79.9785</v>
      </c>
      <c r="R87" s="86">
        <f t="shared" si="9"/>
        <v>-79.9785</v>
      </c>
      <c r="S87" s="86">
        <f t="shared" si="9"/>
        <v>-79.9785</v>
      </c>
      <c r="T87" s="86">
        <f t="shared" si="9"/>
        <v>-79.9785</v>
      </c>
      <c r="U87" s="86">
        <f t="shared" si="9"/>
        <v>-79.9785</v>
      </c>
      <c r="V87" s="86">
        <f t="shared" si="9"/>
        <v>-79.9785</v>
      </c>
      <c r="W87" s="86">
        <f t="shared" si="9"/>
        <v>-79.9785</v>
      </c>
      <c r="X87" s="2"/>
      <c r="Y87" s="2"/>
      <c r="Z87" s="2"/>
      <c r="AA87" s="2"/>
      <c r="AB87" s="2"/>
      <c r="AC87" s="2"/>
    </row>
    <row r="88">
      <c r="A88" s="113">
        <v>15.0</v>
      </c>
      <c r="B88" s="73" t="s">
        <v>407</v>
      </c>
      <c r="C88" s="73">
        <v>1.0</v>
      </c>
      <c r="D88" s="73" t="s">
        <v>12</v>
      </c>
      <c r="E88" s="73">
        <v>326.0</v>
      </c>
      <c r="F88" s="72" t="s">
        <v>20</v>
      </c>
      <c r="G88" s="72" t="s">
        <v>16</v>
      </c>
      <c r="H88" s="129"/>
      <c r="I88" s="86">
        <v>-76.17</v>
      </c>
      <c r="J88" s="86">
        <v>-76.17</v>
      </c>
      <c r="K88" s="86">
        <v>-76.17</v>
      </c>
      <c r="L88" s="86">
        <v>-76.17</v>
      </c>
      <c r="M88" s="86">
        <v>-76.17</v>
      </c>
      <c r="N88" s="86">
        <v>-76.17</v>
      </c>
      <c r="O88" s="86">
        <f t="shared" ref="O88:W88" si="10">1.05*-76.17</f>
        <v>-79.9785</v>
      </c>
      <c r="P88" s="86">
        <f t="shared" si="10"/>
        <v>-79.9785</v>
      </c>
      <c r="Q88" s="86">
        <f t="shared" si="10"/>
        <v>-79.9785</v>
      </c>
      <c r="R88" s="86">
        <f t="shared" si="10"/>
        <v>-79.9785</v>
      </c>
      <c r="S88" s="86">
        <f t="shared" si="10"/>
        <v>-79.9785</v>
      </c>
      <c r="T88" s="86">
        <f t="shared" si="10"/>
        <v>-79.9785</v>
      </c>
      <c r="U88" s="86">
        <f t="shared" si="10"/>
        <v>-79.9785</v>
      </c>
      <c r="V88" s="86">
        <f t="shared" si="10"/>
        <v>-79.9785</v>
      </c>
      <c r="W88" s="86">
        <f t="shared" si="10"/>
        <v>-79.9785</v>
      </c>
      <c r="X88" s="2"/>
      <c r="Y88" s="2"/>
      <c r="Z88" s="2"/>
      <c r="AA88" s="2"/>
      <c r="AB88" s="2"/>
      <c r="AC88" s="2"/>
    </row>
    <row r="89">
      <c r="A89" s="113">
        <v>16.0</v>
      </c>
      <c r="B89" s="73" t="s">
        <v>407</v>
      </c>
      <c r="C89" s="73">
        <v>1.0</v>
      </c>
      <c r="D89" s="73" t="s">
        <v>12</v>
      </c>
      <c r="E89" s="73">
        <v>326.0</v>
      </c>
      <c r="F89" s="72" t="s">
        <v>21</v>
      </c>
      <c r="G89" s="72" t="s">
        <v>16</v>
      </c>
      <c r="H89" s="129"/>
      <c r="I89" s="86">
        <v>-76.17</v>
      </c>
      <c r="J89" s="86">
        <v>-76.17</v>
      </c>
      <c r="K89" s="86">
        <v>-76.17</v>
      </c>
      <c r="L89" s="86">
        <v>-76.17</v>
      </c>
      <c r="M89" s="86">
        <v>-76.17</v>
      </c>
      <c r="N89" s="86">
        <v>-76.17</v>
      </c>
      <c r="O89" s="86">
        <f t="shared" ref="O89:W89" si="11">1.05*-76.17</f>
        <v>-79.9785</v>
      </c>
      <c r="P89" s="86">
        <f t="shared" si="11"/>
        <v>-79.9785</v>
      </c>
      <c r="Q89" s="86">
        <f t="shared" si="11"/>
        <v>-79.9785</v>
      </c>
      <c r="R89" s="86">
        <f t="shared" si="11"/>
        <v>-79.9785</v>
      </c>
      <c r="S89" s="86">
        <f t="shared" si="11"/>
        <v>-79.9785</v>
      </c>
      <c r="T89" s="86">
        <f t="shared" si="11"/>
        <v>-79.9785</v>
      </c>
      <c r="U89" s="86">
        <f t="shared" si="11"/>
        <v>-79.9785</v>
      </c>
      <c r="V89" s="86">
        <f t="shared" si="11"/>
        <v>-79.9785</v>
      </c>
      <c r="W89" s="86">
        <f t="shared" si="11"/>
        <v>-79.9785</v>
      </c>
      <c r="X89" s="2"/>
      <c r="Y89" s="2"/>
      <c r="Z89" s="2"/>
      <c r="AA89" s="2"/>
      <c r="AB89" s="2"/>
      <c r="AC89" s="2"/>
    </row>
    <row r="90">
      <c r="A90" s="113">
        <v>20.0</v>
      </c>
      <c r="B90" s="73" t="s">
        <v>407</v>
      </c>
      <c r="C90" s="73">
        <v>1.0</v>
      </c>
      <c r="D90" s="73" t="s">
        <v>12</v>
      </c>
      <c r="E90" s="73">
        <v>326.0</v>
      </c>
      <c r="F90" s="72" t="s">
        <v>22</v>
      </c>
      <c r="G90" s="72" t="s">
        <v>16</v>
      </c>
      <c r="H90" s="129"/>
      <c r="I90" s="86">
        <v>-85.7</v>
      </c>
      <c r="J90" s="86">
        <v>-85.7</v>
      </c>
      <c r="K90" s="86">
        <v>-85.7</v>
      </c>
      <c r="L90" s="86">
        <v>-85.7</v>
      </c>
      <c r="M90" s="86">
        <v>-85.7</v>
      </c>
      <c r="N90" s="86">
        <v>-85.7</v>
      </c>
      <c r="O90" s="86">
        <f t="shared" ref="O90:W90" si="12">1.05*-85.7</f>
        <v>-89.985</v>
      </c>
      <c r="P90" s="86">
        <f t="shared" si="12"/>
        <v>-89.985</v>
      </c>
      <c r="Q90" s="86">
        <f t="shared" si="12"/>
        <v>-89.985</v>
      </c>
      <c r="R90" s="86">
        <f t="shared" si="12"/>
        <v>-89.985</v>
      </c>
      <c r="S90" s="86">
        <f t="shared" si="12"/>
        <v>-89.985</v>
      </c>
      <c r="T90" s="86">
        <f t="shared" si="12"/>
        <v>-89.985</v>
      </c>
      <c r="U90" s="86">
        <f t="shared" si="12"/>
        <v>-89.985</v>
      </c>
      <c r="V90" s="86">
        <f t="shared" si="12"/>
        <v>-89.985</v>
      </c>
      <c r="W90" s="86">
        <f t="shared" si="12"/>
        <v>-89.985</v>
      </c>
      <c r="X90" s="2"/>
      <c r="Y90" s="2"/>
      <c r="Z90" s="2"/>
      <c r="AA90" s="2"/>
      <c r="AB90" s="2"/>
      <c r="AC90" s="2"/>
    </row>
    <row r="91">
      <c r="A91" s="113">
        <v>21.0</v>
      </c>
      <c r="B91" s="73" t="s">
        <v>407</v>
      </c>
      <c r="C91" s="73">
        <v>1.0</v>
      </c>
      <c r="D91" s="73" t="s">
        <v>12</v>
      </c>
      <c r="E91" s="73">
        <v>326.0</v>
      </c>
      <c r="F91" s="72" t="s">
        <v>23</v>
      </c>
      <c r="G91" s="72" t="s">
        <v>16</v>
      </c>
      <c r="H91" s="129"/>
      <c r="I91" s="86">
        <v>-85.7</v>
      </c>
      <c r="J91" s="86">
        <v>-85.7</v>
      </c>
      <c r="K91" s="86">
        <v>-85.7</v>
      </c>
      <c r="L91" s="86">
        <v>-85.7</v>
      </c>
      <c r="M91" s="86">
        <v>-85.7</v>
      </c>
      <c r="N91" s="86">
        <v>-85.7</v>
      </c>
      <c r="O91" s="86">
        <f t="shared" ref="O91:W91" si="13">1.05*-85.7</f>
        <v>-89.985</v>
      </c>
      <c r="P91" s="86">
        <f t="shared" si="13"/>
        <v>-89.985</v>
      </c>
      <c r="Q91" s="86">
        <f t="shared" si="13"/>
        <v>-89.985</v>
      </c>
      <c r="R91" s="86">
        <f t="shared" si="13"/>
        <v>-89.985</v>
      </c>
      <c r="S91" s="86">
        <f t="shared" si="13"/>
        <v>-89.985</v>
      </c>
      <c r="T91" s="86">
        <f t="shared" si="13"/>
        <v>-89.985</v>
      </c>
      <c r="U91" s="86">
        <f t="shared" si="13"/>
        <v>-89.985</v>
      </c>
      <c r="V91" s="86">
        <f t="shared" si="13"/>
        <v>-89.985</v>
      </c>
      <c r="W91" s="86">
        <f t="shared" si="13"/>
        <v>-89.985</v>
      </c>
      <c r="X91" s="2"/>
      <c r="Y91" s="2"/>
      <c r="Z91" s="2"/>
      <c r="AA91" s="2"/>
      <c r="AB91" s="2"/>
      <c r="AC91" s="2"/>
    </row>
    <row r="92">
      <c r="A92" s="113">
        <v>17.0</v>
      </c>
      <c r="B92" s="73" t="s">
        <v>407</v>
      </c>
      <c r="C92" s="73">
        <v>1.0</v>
      </c>
      <c r="D92" s="73" t="s">
        <v>12</v>
      </c>
      <c r="E92" s="73">
        <v>326.0</v>
      </c>
      <c r="F92" s="72" t="s">
        <v>24</v>
      </c>
      <c r="G92" s="72" t="s">
        <v>16</v>
      </c>
      <c r="H92" s="129"/>
      <c r="I92" s="86">
        <v>-117.7</v>
      </c>
      <c r="J92" s="86">
        <v>-117.7</v>
      </c>
      <c r="K92" s="86">
        <v>-117.7</v>
      </c>
      <c r="L92" s="86">
        <v>-117.7</v>
      </c>
      <c r="M92" s="86">
        <v>-117.7</v>
      </c>
      <c r="N92" s="86">
        <v>-117.7</v>
      </c>
      <c r="O92" s="86">
        <f t="shared" ref="O92:W92" si="14">1.05*-117.7</f>
        <v>-123.585</v>
      </c>
      <c r="P92" s="86">
        <f t="shared" si="14"/>
        <v>-123.585</v>
      </c>
      <c r="Q92" s="86">
        <f t="shared" si="14"/>
        <v>-123.585</v>
      </c>
      <c r="R92" s="86">
        <f t="shared" si="14"/>
        <v>-123.585</v>
      </c>
      <c r="S92" s="86">
        <f t="shared" si="14"/>
        <v>-123.585</v>
      </c>
      <c r="T92" s="86">
        <f t="shared" si="14"/>
        <v>-123.585</v>
      </c>
      <c r="U92" s="86">
        <f t="shared" si="14"/>
        <v>-123.585</v>
      </c>
      <c r="V92" s="86">
        <f t="shared" si="14"/>
        <v>-123.585</v>
      </c>
      <c r="W92" s="86">
        <f t="shared" si="14"/>
        <v>-123.585</v>
      </c>
      <c r="X92" s="2"/>
      <c r="Y92" s="2"/>
      <c r="Z92" s="2"/>
      <c r="AA92" s="2"/>
      <c r="AB92" s="2"/>
      <c r="AC92" s="2"/>
    </row>
    <row r="93">
      <c r="A93" s="113">
        <v>18.0</v>
      </c>
      <c r="B93" s="73" t="s">
        <v>407</v>
      </c>
      <c r="C93" s="73">
        <v>1.0</v>
      </c>
      <c r="D93" s="73" t="s">
        <v>12</v>
      </c>
      <c r="E93" s="73">
        <v>326.0</v>
      </c>
      <c r="F93" s="72" t="s">
        <v>25</v>
      </c>
      <c r="G93" s="72" t="s">
        <v>16</v>
      </c>
      <c r="H93" s="129"/>
      <c r="I93" s="86">
        <v>-117.7</v>
      </c>
      <c r="J93" s="86">
        <v>-117.7</v>
      </c>
      <c r="K93" s="86">
        <v>-117.7</v>
      </c>
      <c r="L93" s="86">
        <v>-117.7</v>
      </c>
      <c r="M93" s="86">
        <v>-117.7</v>
      </c>
      <c r="N93" s="86">
        <v>-117.7</v>
      </c>
      <c r="O93" s="86">
        <f t="shared" ref="O93:W93" si="15">1.05*-117.7</f>
        <v>-123.585</v>
      </c>
      <c r="P93" s="86">
        <f t="shared" si="15"/>
        <v>-123.585</v>
      </c>
      <c r="Q93" s="86">
        <f t="shared" si="15"/>
        <v>-123.585</v>
      </c>
      <c r="R93" s="86">
        <f t="shared" si="15"/>
        <v>-123.585</v>
      </c>
      <c r="S93" s="86">
        <f t="shared" si="15"/>
        <v>-123.585</v>
      </c>
      <c r="T93" s="86">
        <f t="shared" si="15"/>
        <v>-123.585</v>
      </c>
      <c r="U93" s="86">
        <f t="shared" si="15"/>
        <v>-123.585</v>
      </c>
      <c r="V93" s="86">
        <f t="shared" si="15"/>
        <v>-123.585</v>
      </c>
      <c r="W93" s="86">
        <f t="shared" si="15"/>
        <v>-123.585</v>
      </c>
      <c r="X93" s="2"/>
      <c r="Y93" s="2"/>
      <c r="Z93" s="2"/>
      <c r="AA93" s="2"/>
      <c r="AB93" s="2"/>
      <c r="AC93" s="2"/>
    </row>
    <row r="94">
      <c r="A94" s="113">
        <v>19.0</v>
      </c>
      <c r="B94" s="73" t="s">
        <v>407</v>
      </c>
      <c r="C94" s="73">
        <v>1.0</v>
      </c>
      <c r="D94" s="73" t="s">
        <v>12</v>
      </c>
      <c r="E94" s="73">
        <v>326.0</v>
      </c>
      <c r="F94" s="72" t="s">
        <v>26</v>
      </c>
      <c r="G94" s="72" t="s">
        <v>16</v>
      </c>
      <c r="H94" s="130"/>
      <c r="I94" s="86">
        <v>-117.7</v>
      </c>
      <c r="J94" s="86">
        <v>-117.7</v>
      </c>
      <c r="K94" s="86">
        <v>-117.7</v>
      </c>
      <c r="L94" s="86">
        <v>-117.7</v>
      </c>
      <c r="M94" s="86">
        <v>-117.7</v>
      </c>
      <c r="N94" s="86">
        <v>-117.7</v>
      </c>
      <c r="O94" s="86">
        <f t="shared" ref="O94:W94" si="16">1.05*-117.7</f>
        <v>-123.585</v>
      </c>
      <c r="P94" s="86">
        <f t="shared" si="16"/>
        <v>-123.585</v>
      </c>
      <c r="Q94" s="86">
        <f t="shared" si="16"/>
        <v>-123.585</v>
      </c>
      <c r="R94" s="86">
        <f t="shared" si="16"/>
        <v>-123.585</v>
      </c>
      <c r="S94" s="86">
        <f t="shared" si="16"/>
        <v>-123.585</v>
      </c>
      <c r="T94" s="86">
        <f t="shared" si="16"/>
        <v>-123.585</v>
      </c>
      <c r="U94" s="86">
        <f t="shared" si="16"/>
        <v>-123.585</v>
      </c>
      <c r="V94" s="86">
        <f t="shared" si="16"/>
        <v>-123.585</v>
      </c>
      <c r="W94" s="86">
        <f t="shared" si="16"/>
        <v>-123.585</v>
      </c>
      <c r="X94" s="2"/>
      <c r="Y94" s="2"/>
      <c r="Z94" s="2"/>
      <c r="AA94" s="2"/>
      <c r="AB94" s="2"/>
      <c r="AC94" s="2"/>
    </row>
    <row r="95">
      <c r="A95" s="113">
        <v>85.0</v>
      </c>
      <c r="B95" s="73" t="s">
        <v>407</v>
      </c>
      <c r="C95" s="73">
        <v>1.0</v>
      </c>
      <c r="D95" s="73" t="s">
        <v>12</v>
      </c>
      <c r="E95" s="73">
        <v>333.0</v>
      </c>
      <c r="F95" s="72" t="s">
        <v>527</v>
      </c>
      <c r="G95" s="72" t="s">
        <v>114</v>
      </c>
      <c r="H95" s="84" t="s">
        <v>404</v>
      </c>
      <c r="I95" s="86">
        <v>-14.95</v>
      </c>
      <c r="J95" s="86">
        <v>-15.03</v>
      </c>
      <c r="K95" s="86">
        <v>-14.95</v>
      </c>
      <c r="L95" s="86">
        <v>-14.95</v>
      </c>
      <c r="M95" s="86">
        <v>-14.95</v>
      </c>
      <c r="N95" s="86">
        <v>-14.95</v>
      </c>
      <c r="O95" s="86">
        <v>-14.95</v>
      </c>
      <c r="P95" s="86">
        <v>-14.95</v>
      </c>
      <c r="Q95" s="86">
        <v>-14.95</v>
      </c>
      <c r="R95" s="86">
        <v>-14.95</v>
      </c>
      <c r="S95" s="86">
        <v>-14.95</v>
      </c>
      <c r="T95" s="86">
        <v>-14.95</v>
      </c>
      <c r="U95" s="86">
        <v>-14.95</v>
      </c>
      <c r="V95" s="86">
        <v>-14.95</v>
      </c>
      <c r="W95" s="86">
        <v>-14.95</v>
      </c>
      <c r="X95" s="2"/>
      <c r="Y95" s="122"/>
      <c r="Z95" s="123"/>
      <c r="AA95" s="122"/>
      <c r="AB95" s="2"/>
      <c r="AC95" s="2"/>
    </row>
    <row r="96">
      <c r="A96" s="113">
        <v>86.0</v>
      </c>
      <c r="B96" s="73" t="s">
        <v>407</v>
      </c>
      <c r="C96" s="73">
        <v>1.0</v>
      </c>
      <c r="D96" s="73" t="s">
        <v>12</v>
      </c>
      <c r="E96" s="73">
        <v>333.0</v>
      </c>
      <c r="F96" s="72" t="s">
        <v>528</v>
      </c>
      <c r="G96" s="72" t="s">
        <v>114</v>
      </c>
      <c r="H96" s="84" t="s">
        <v>404</v>
      </c>
      <c r="I96" s="86">
        <v>-15.0</v>
      </c>
      <c r="J96" s="86">
        <v>-15.0</v>
      </c>
      <c r="K96" s="86">
        <v>-15.0</v>
      </c>
      <c r="L96" s="86">
        <v>-15.0</v>
      </c>
      <c r="M96" s="86">
        <v>-15.0</v>
      </c>
      <c r="N96" s="86">
        <v>-9.75</v>
      </c>
      <c r="O96" s="86">
        <v>-15.0</v>
      </c>
      <c r="P96" s="86">
        <v>-15.0</v>
      </c>
      <c r="Q96" s="86">
        <v>-15.0</v>
      </c>
      <c r="R96" s="86">
        <v>-15.0</v>
      </c>
      <c r="S96" s="86">
        <v>-15.0</v>
      </c>
      <c r="T96" s="86">
        <v>-15.0</v>
      </c>
      <c r="U96" s="86">
        <v>-15.0</v>
      </c>
      <c r="V96" s="86">
        <v>-15.0</v>
      </c>
      <c r="W96" s="86">
        <v>-15.0</v>
      </c>
      <c r="X96" s="2"/>
      <c r="Y96" s="122"/>
      <c r="Z96" s="123"/>
      <c r="AA96" s="122"/>
      <c r="AB96" s="2"/>
      <c r="AC96" s="2"/>
    </row>
    <row r="97">
      <c r="A97" s="113">
        <v>87.0</v>
      </c>
      <c r="B97" s="73" t="s">
        <v>407</v>
      </c>
      <c r="C97" s="73">
        <v>1.0</v>
      </c>
      <c r="D97" s="73" t="s">
        <v>12</v>
      </c>
      <c r="E97" s="73">
        <v>333.0</v>
      </c>
      <c r="F97" s="72" t="s">
        <v>529</v>
      </c>
      <c r="G97" s="72" t="s">
        <v>114</v>
      </c>
      <c r="H97" s="84" t="s">
        <v>404</v>
      </c>
      <c r="I97" s="86">
        <v>-15.0</v>
      </c>
      <c r="J97" s="86">
        <v>-15.0</v>
      </c>
      <c r="K97" s="86">
        <v>-15.0</v>
      </c>
      <c r="L97" s="86">
        <v>-15.0</v>
      </c>
      <c r="M97" s="86">
        <v>-15.0</v>
      </c>
      <c r="N97" s="86">
        <v>-9.75</v>
      </c>
      <c r="O97" s="86">
        <v>-15.0</v>
      </c>
      <c r="P97" s="86">
        <v>-15.0</v>
      </c>
      <c r="Q97" s="86">
        <v>-15.0</v>
      </c>
      <c r="R97" s="86">
        <v>-15.0</v>
      </c>
      <c r="S97" s="86">
        <v>-15.0</v>
      </c>
      <c r="T97" s="86">
        <v>-15.0</v>
      </c>
      <c r="U97" s="86">
        <v>-15.0</v>
      </c>
      <c r="V97" s="86">
        <v>-15.0</v>
      </c>
      <c r="W97" s="86">
        <v>-15.0</v>
      </c>
      <c r="X97" s="2"/>
      <c r="Y97" s="122"/>
      <c r="Z97" s="123"/>
      <c r="AA97" s="122"/>
      <c r="AB97" s="2"/>
      <c r="AC97" s="2"/>
    </row>
    <row r="98">
      <c r="A98" s="113">
        <v>88.0</v>
      </c>
      <c r="B98" s="73" t="s">
        <v>407</v>
      </c>
      <c r="C98" s="73">
        <v>1.0</v>
      </c>
      <c r="D98" s="73" t="s">
        <v>12</v>
      </c>
      <c r="E98" s="73">
        <v>333.0</v>
      </c>
      <c r="F98" s="72" t="s">
        <v>530</v>
      </c>
      <c r="G98" s="72" t="s">
        <v>114</v>
      </c>
      <c r="H98" s="84" t="s">
        <v>404</v>
      </c>
      <c r="I98" s="86">
        <v>-15.0</v>
      </c>
      <c r="J98" s="86">
        <v>-15.0</v>
      </c>
      <c r="K98" s="86">
        <v>-15.0</v>
      </c>
      <c r="L98" s="86">
        <v>-15.0</v>
      </c>
      <c r="M98" s="86">
        <v>-15.0</v>
      </c>
      <c r="N98" s="86">
        <v>-9.75</v>
      </c>
      <c r="O98" s="86">
        <v>-15.0</v>
      </c>
      <c r="P98" s="86">
        <v>-15.0</v>
      </c>
      <c r="Q98" s="86">
        <v>-15.0</v>
      </c>
      <c r="R98" s="86">
        <v>-15.0</v>
      </c>
      <c r="S98" s="86">
        <v>-15.0</v>
      </c>
      <c r="T98" s="86">
        <v>-15.0</v>
      </c>
      <c r="U98" s="86">
        <v>-15.0</v>
      </c>
      <c r="V98" s="86">
        <v>-15.0</v>
      </c>
      <c r="W98" s="86">
        <v>-15.0</v>
      </c>
      <c r="X98" s="2"/>
      <c r="Y98" s="122"/>
      <c r="Z98" s="123"/>
      <c r="AA98" s="122"/>
      <c r="AB98" s="2"/>
      <c r="AC98" s="2"/>
    </row>
    <row r="99">
      <c r="A99" s="113">
        <v>89.0</v>
      </c>
      <c r="B99" s="73" t="s">
        <v>407</v>
      </c>
      <c r="C99" s="73">
        <v>1.0</v>
      </c>
      <c r="D99" s="73" t="s">
        <v>12</v>
      </c>
      <c r="E99" s="73">
        <v>333.0</v>
      </c>
      <c r="F99" s="72" t="s">
        <v>531</v>
      </c>
      <c r="G99" s="72" t="s">
        <v>114</v>
      </c>
      <c r="H99" s="84" t="s">
        <v>404</v>
      </c>
      <c r="I99" s="86">
        <v>-15.0</v>
      </c>
      <c r="J99" s="86">
        <v>-15.0</v>
      </c>
      <c r="K99" s="86">
        <v>-15.0</v>
      </c>
      <c r="L99" s="86">
        <v>-15.0</v>
      </c>
      <c r="M99" s="86">
        <v>-15.0</v>
      </c>
      <c r="N99" s="86">
        <v>-9.75</v>
      </c>
      <c r="O99" s="86">
        <v>-15.0</v>
      </c>
      <c r="P99" s="86">
        <v>-15.0</v>
      </c>
      <c r="Q99" s="86">
        <v>-15.0</v>
      </c>
      <c r="R99" s="86">
        <v>-15.0</v>
      </c>
      <c r="S99" s="86">
        <v>-15.0</v>
      </c>
      <c r="T99" s="86">
        <v>-15.0</v>
      </c>
      <c r="U99" s="86">
        <v>-15.0</v>
      </c>
      <c r="V99" s="86">
        <v>-15.0</v>
      </c>
      <c r="W99" s="86">
        <v>-15.0</v>
      </c>
      <c r="X99" s="2"/>
      <c r="Y99" s="122"/>
      <c r="Z99" s="123"/>
      <c r="AA99" s="122"/>
      <c r="AB99" s="2"/>
      <c r="AC99" s="2"/>
    </row>
    <row r="100">
      <c r="A100" s="113">
        <v>90.0</v>
      </c>
      <c r="B100" s="73" t="s">
        <v>407</v>
      </c>
      <c r="C100" s="73">
        <v>1.0</v>
      </c>
      <c r="D100" s="73" t="s">
        <v>12</v>
      </c>
      <c r="E100" s="73">
        <v>333.0</v>
      </c>
      <c r="F100" s="72" t="s">
        <v>532</v>
      </c>
      <c r="G100" s="72" t="s">
        <v>114</v>
      </c>
      <c r="H100" s="84" t="s">
        <v>404</v>
      </c>
      <c r="I100" s="86">
        <v>-14.12</v>
      </c>
      <c r="J100" s="86">
        <v>-14.12</v>
      </c>
      <c r="K100" s="86">
        <v>-14.12</v>
      </c>
      <c r="L100" s="86">
        <v>-14.12</v>
      </c>
      <c r="M100" s="86">
        <v>-14.12</v>
      </c>
      <c r="N100" s="86">
        <v>-14.97</v>
      </c>
      <c r="O100" s="86">
        <v>-14.12</v>
      </c>
      <c r="P100" s="86">
        <v>-14.12</v>
      </c>
      <c r="Q100" s="86">
        <v>-14.12</v>
      </c>
      <c r="R100" s="86">
        <v>-14.12</v>
      </c>
      <c r="S100" s="86">
        <v>-14.12</v>
      </c>
      <c r="T100" s="86">
        <v>-14.12</v>
      </c>
      <c r="U100" s="86">
        <v>-14.12</v>
      </c>
      <c r="V100" s="86">
        <v>-14.12</v>
      </c>
      <c r="W100" s="86">
        <v>-14.12</v>
      </c>
      <c r="X100" s="2"/>
      <c r="Y100" s="122"/>
      <c r="Z100" s="123"/>
      <c r="AA100" s="122"/>
      <c r="AB100" s="2"/>
      <c r="AC100" s="2"/>
    </row>
    <row r="101">
      <c r="A101" s="113">
        <v>91.0</v>
      </c>
      <c r="B101" s="73" t="s">
        <v>407</v>
      </c>
      <c r="C101" s="73">
        <v>1.0</v>
      </c>
      <c r="D101" s="73" t="s">
        <v>12</v>
      </c>
      <c r="E101" s="73">
        <v>333.0</v>
      </c>
      <c r="F101" s="72" t="s">
        <v>533</v>
      </c>
      <c r="G101" s="72" t="s">
        <v>114</v>
      </c>
      <c r="H101" s="84" t="s">
        <v>404</v>
      </c>
      <c r="I101" s="86">
        <v>-14.12</v>
      </c>
      <c r="J101" s="86">
        <v>-14.12</v>
      </c>
      <c r="K101" s="86">
        <v>-14.12</v>
      </c>
      <c r="L101" s="86">
        <v>-14.12</v>
      </c>
      <c r="M101" s="86">
        <v>-14.12</v>
      </c>
      <c r="N101" s="86">
        <v>-14.97</v>
      </c>
      <c r="O101" s="86">
        <v>-14.12</v>
      </c>
      <c r="P101" s="86">
        <v>-14.12</v>
      </c>
      <c r="Q101" s="86">
        <v>-14.12</v>
      </c>
      <c r="R101" s="86">
        <v>-14.12</v>
      </c>
      <c r="S101" s="86">
        <v>-14.12</v>
      </c>
      <c r="T101" s="86">
        <v>-14.12</v>
      </c>
      <c r="U101" s="86">
        <v>-14.12</v>
      </c>
      <c r="V101" s="86">
        <v>-14.12</v>
      </c>
      <c r="W101" s="86">
        <v>-14.12</v>
      </c>
      <c r="X101" s="2"/>
      <c r="Y101" s="122"/>
      <c r="Z101" s="123"/>
      <c r="AA101" s="122"/>
      <c r="AB101" s="2"/>
      <c r="AC101" s="2"/>
    </row>
    <row r="102">
      <c r="A102" s="113">
        <v>92.0</v>
      </c>
      <c r="B102" s="73" t="s">
        <v>407</v>
      </c>
      <c r="C102" s="73">
        <v>1.0</v>
      </c>
      <c r="D102" s="73" t="s">
        <v>12</v>
      </c>
      <c r="E102" s="73">
        <v>333.0</v>
      </c>
      <c r="F102" s="72" t="s">
        <v>534</v>
      </c>
      <c r="G102" s="72" t="s">
        <v>114</v>
      </c>
      <c r="H102" s="84" t="s">
        <v>404</v>
      </c>
      <c r="I102" s="86">
        <v>-14.56</v>
      </c>
      <c r="J102" s="86">
        <v>-14.54</v>
      </c>
      <c r="K102" s="86">
        <v>-14.54</v>
      </c>
      <c r="L102" s="86">
        <v>-14.54</v>
      </c>
      <c r="M102" s="86">
        <v>-14.54</v>
      </c>
      <c r="N102" s="86">
        <v>-14.54</v>
      </c>
      <c r="O102" s="86">
        <v>-14.54</v>
      </c>
      <c r="P102" s="86">
        <v>-14.54</v>
      </c>
      <c r="Q102" s="86">
        <v>-14.54</v>
      </c>
      <c r="R102" s="86">
        <v>-14.54</v>
      </c>
      <c r="S102" s="86">
        <v>-14.54</v>
      </c>
      <c r="T102" s="86">
        <v>-14.54</v>
      </c>
      <c r="U102" s="86">
        <v>-14.54</v>
      </c>
      <c r="V102" s="86">
        <v>-14.54</v>
      </c>
      <c r="W102" s="86">
        <v>-14.54</v>
      </c>
      <c r="X102" s="2"/>
      <c r="Y102" s="122"/>
      <c r="Z102" s="123"/>
      <c r="AA102" s="122"/>
      <c r="AB102" s="2"/>
      <c r="AC102" s="2"/>
    </row>
    <row r="103">
      <c r="A103" s="113">
        <v>93.0</v>
      </c>
      <c r="B103" s="73" t="s">
        <v>407</v>
      </c>
      <c r="C103" s="73">
        <v>1.0</v>
      </c>
      <c r="D103" s="73" t="s">
        <v>12</v>
      </c>
      <c r="E103" s="73">
        <v>333.0</v>
      </c>
      <c r="F103" s="72" t="s">
        <v>535</v>
      </c>
      <c r="G103" s="72" t="s">
        <v>114</v>
      </c>
      <c r="H103" s="84" t="s">
        <v>404</v>
      </c>
      <c r="I103" s="86">
        <v>-14.95</v>
      </c>
      <c r="J103" s="86">
        <v>-14.95</v>
      </c>
      <c r="K103" s="86">
        <v>-14.95</v>
      </c>
      <c r="L103" s="86">
        <v>-14.95</v>
      </c>
      <c r="M103" s="86">
        <v>-14.95</v>
      </c>
      <c r="N103" s="86">
        <v>-15.03</v>
      </c>
      <c r="O103" s="86">
        <v>-14.95</v>
      </c>
      <c r="P103" s="86">
        <v>-14.95</v>
      </c>
      <c r="Q103" s="86">
        <v>-14.95</v>
      </c>
      <c r="R103" s="86">
        <v>-14.95</v>
      </c>
      <c r="S103" s="86">
        <v>-14.95</v>
      </c>
      <c r="T103" s="86">
        <v>-14.95</v>
      </c>
      <c r="U103" s="86">
        <v>-14.95</v>
      </c>
      <c r="V103" s="86">
        <v>-14.95</v>
      </c>
      <c r="W103" s="86">
        <v>-14.95</v>
      </c>
      <c r="X103" s="2"/>
      <c r="Y103" s="122"/>
      <c r="Z103" s="123"/>
      <c r="AA103" s="122"/>
      <c r="AB103" s="2"/>
      <c r="AC103" s="2"/>
    </row>
    <row r="104">
      <c r="A104" s="113">
        <v>94.0</v>
      </c>
      <c r="B104" s="73" t="s">
        <v>407</v>
      </c>
      <c r="C104" s="73">
        <v>1.0</v>
      </c>
      <c r="D104" s="73" t="s">
        <v>12</v>
      </c>
      <c r="E104" s="73">
        <v>333.0</v>
      </c>
      <c r="F104" s="72" t="s">
        <v>536</v>
      </c>
      <c r="G104" s="72" t="s">
        <v>114</v>
      </c>
      <c r="H104" s="84" t="s">
        <v>404</v>
      </c>
      <c r="I104" s="86">
        <v>-14.95</v>
      </c>
      <c r="J104" s="86">
        <v>-14.95</v>
      </c>
      <c r="K104" s="86">
        <v>-14.95</v>
      </c>
      <c r="L104" s="86">
        <v>-15.03</v>
      </c>
      <c r="M104" s="86">
        <v>-14.95</v>
      </c>
      <c r="N104" s="86">
        <v>-14.95</v>
      </c>
      <c r="O104" s="86">
        <v>-14.95</v>
      </c>
      <c r="P104" s="86">
        <v>-14.95</v>
      </c>
      <c r="Q104" s="86">
        <v>-14.95</v>
      </c>
      <c r="R104" s="86">
        <v>-14.95</v>
      </c>
      <c r="S104" s="86">
        <v>-14.95</v>
      </c>
      <c r="T104" s="86">
        <v>-14.95</v>
      </c>
      <c r="U104" s="86">
        <v>-14.95</v>
      </c>
      <c r="V104" s="86">
        <v>-14.95</v>
      </c>
      <c r="W104" s="86">
        <v>-14.95</v>
      </c>
      <c r="X104" s="2"/>
      <c r="Y104" s="122"/>
      <c r="Z104" s="123"/>
      <c r="AA104" s="122"/>
      <c r="AB104" s="2"/>
      <c r="AC104" s="2"/>
    </row>
    <row r="105">
      <c r="A105" s="113">
        <v>95.0</v>
      </c>
      <c r="B105" s="73" t="s">
        <v>407</v>
      </c>
      <c r="C105" s="73">
        <v>1.0</v>
      </c>
      <c r="D105" s="73" t="s">
        <v>12</v>
      </c>
      <c r="E105" s="73">
        <v>333.0</v>
      </c>
      <c r="F105" s="72" t="s">
        <v>537</v>
      </c>
      <c r="G105" s="72" t="s">
        <v>114</v>
      </c>
      <c r="H105" s="84" t="s">
        <v>404</v>
      </c>
      <c r="I105" s="86">
        <v>-14.95</v>
      </c>
      <c r="J105" s="86">
        <v>-14.95</v>
      </c>
      <c r="K105" s="86">
        <v>-14.95</v>
      </c>
      <c r="L105" s="86">
        <v>-15.03</v>
      </c>
      <c r="M105" s="86">
        <v>-14.95</v>
      </c>
      <c r="N105" s="86">
        <v>-14.95</v>
      </c>
      <c r="O105" s="86">
        <v>-14.95</v>
      </c>
      <c r="P105" s="86">
        <v>-14.95</v>
      </c>
      <c r="Q105" s="86">
        <v>-14.95</v>
      </c>
      <c r="R105" s="86">
        <v>-14.95</v>
      </c>
      <c r="S105" s="86">
        <v>-14.95</v>
      </c>
      <c r="T105" s="86">
        <v>-14.95</v>
      </c>
      <c r="U105" s="86">
        <v>-14.95</v>
      </c>
      <c r="V105" s="86">
        <v>-14.95</v>
      </c>
      <c r="W105" s="86">
        <v>-14.95</v>
      </c>
      <c r="X105" s="2"/>
      <c r="Y105" s="122"/>
      <c r="Z105" s="123"/>
      <c r="AA105" s="122"/>
      <c r="AB105" s="2"/>
      <c r="AC105" s="2"/>
    </row>
    <row r="106">
      <c r="A106" s="113">
        <v>122.0</v>
      </c>
      <c r="B106" s="73" t="s">
        <v>407</v>
      </c>
      <c r="C106" s="73">
        <v>1.0</v>
      </c>
      <c r="D106" s="73" t="s">
        <v>12</v>
      </c>
      <c r="E106" s="73">
        <v>335.0</v>
      </c>
      <c r="F106" s="72" t="s">
        <v>57</v>
      </c>
      <c r="G106" s="2" t="s">
        <v>56</v>
      </c>
      <c r="H106" s="84" t="s">
        <v>404</v>
      </c>
      <c r="I106" s="86">
        <v>-317.66</v>
      </c>
      <c r="J106" s="86">
        <v>-317.66</v>
      </c>
      <c r="K106" s="86">
        <v>-317.66</v>
      </c>
      <c r="L106" s="86">
        <v>-317.66</v>
      </c>
      <c r="M106" s="86">
        <v>-317.66</v>
      </c>
      <c r="N106" s="86">
        <v>-317.66</v>
      </c>
      <c r="O106" s="86">
        <v>-317.66</v>
      </c>
      <c r="P106" s="86">
        <v>-317.66</v>
      </c>
      <c r="Q106" s="86">
        <v>-317.66</v>
      </c>
      <c r="R106" s="86">
        <v>-317.66</v>
      </c>
      <c r="S106" s="86">
        <v>-317.66</v>
      </c>
      <c r="T106" s="86">
        <v>-317.66</v>
      </c>
      <c r="U106" s="86">
        <v>-317.66</v>
      </c>
      <c r="V106" s="86">
        <v>-317.66</v>
      </c>
      <c r="W106" s="86">
        <v>-317.66</v>
      </c>
      <c r="X106" s="2"/>
      <c r="Y106" s="2"/>
      <c r="Z106" s="2"/>
      <c r="AA106" s="2"/>
      <c r="AB106" s="2"/>
      <c r="AC106" s="2"/>
    </row>
    <row r="107">
      <c r="A107" s="113">
        <v>103.0</v>
      </c>
      <c r="B107" s="73" t="s">
        <v>407</v>
      </c>
      <c r="C107" s="73">
        <v>1.0</v>
      </c>
      <c r="D107" s="73" t="s">
        <v>12</v>
      </c>
      <c r="E107" s="131">
        <v>340.0</v>
      </c>
      <c r="F107" s="93" t="s">
        <v>31</v>
      </c>
      <c r="G107" s="93" t="s">
        <v>30</v>
      </c>
      <c r="H107" s="84" t="s">
        <v>404</v>
      </c>
      <c r="I107" s="86">
        <v>-13.81</v>
      </c>
      <c r="J107" s="86">
        <v>-13.81</v>
      </c>
      <c r="K107" s="86">
        <v>-13.81</v>
      </c>
      <c r="L107" s="86">
        <v>-13.81</v>
      </c>
      <c r="M107" s="86">
        <v>-19.32</v>
      </c>
      <c r="N107" s="86">
        <v>-19.32</v>
      </c>
      <c r="O107" s="86">
        <v>-19.32</v>
      </c>
      <c r="P107" s="86">
        <v>-19.32</v>
      </c>
      <c r="Q107" s="86">
        <v>-19.32</v>
      </c>
      <c r="R107" s="86">
        <v>-19.32</v>
      </c>
      <c r="S107" s="86">
        <v>-19.32</v>
      </c>
      <c r="T107" s="86">
        <v>-19.32</v>
      </c>
      <c r="U107" s="86">
        <v>-19.32</v>
      </c>
      <c r="V107" s="86">
        <v>-19.32</v>
      </c>
      <c r="W107" s="86">
        <v>-19.32</v>
      </c>
      <c r="X107" s="2"/>
      <c r="Y107" s="2"/>
      <c r="Z107" s="2"/>
      <c r="AA107" s="2"/>
      <c r="AB107" s="2"/>
      <c r="AC107" s="2"/>
    </row>
    <row r="108">
      <c r="A108" s="113">
        <v>102.0</v>
      </c>
      <c r="B108" s="73" t="s">
        <v>407</v>
      </c>
      <c r="C108" s="73">
        <v>1.0</v>
      </c>
      <c r="D108" s="73" t="s">
        <v>12</v>
      </c>
      <c r="E108" s="73">
        <v>340.0</v>
      </c>
      <c r="F108" s="93" t="s">
        <v>32</v>
      </c>
      <c r="G108" s="93" t="s">
        <v>30</v>
      </c>
      <c r="H108" s="84" t="s">
        <v>404</v>
      </c>
      <c r="I108" s="86">
        <v>-9.5</v>
      </c>
      <c r="J108" s="86">
        <v>-9.5</v>
      </c>
      <c r="K108" s="86">
        <v>-9.5</v>
      </c>
      <c r="L108" s="86">
        <v>-9.5</v>
      </c>
      <c r="M108" s="86">
        <v>-9.5</v>
      </c>
      <c r="N108" s="86">
        <v>-9.5</v>
      </c>
      <c r="O108" s="86">
        <v>-9.5</v>
      </c>
      <c r="P108" s="86">
        <v>-9.5</v>
      </c>
      <c r="Q108" s="86">
        <v>-9.5</v>
      </c>
      <c r="R108" s="86">
        <v>-9.5</v>
      </c>
      <c r="S108" s="86">
        <v>-9.5</v>
      </c>
      <c r="T108" s="86">
        <v>-9.5</v>
      </c>
      <c r="U108" s="86">
        <v>-9.5</v>
      </c>
      <c r="V108" s="86">
        <v>-9.5</v>
      </c>
      <c r="W108" s="86">
        <v>-9.5</v>
      </c>
      <c r="X108" s="2"/>
      <c r="Y108" s="2"/>
      <c r="Z108" s="2"/>
      <c r="AA108" s="2"/>
      <c r="AB108" s="2"/>
      <c r="AC108" s="2"/>
    </row>
    <row r="109">
      <c r="A109" s="113">
        <v>108.0</v>
      </c>
      <c r="B109" s="73" t="s">
        <v>407</v>
      </c>
      <c r="C109" s="73">
        <v>1.0</v>
      </c>
      <c r="D109" s="73" t="s">
        <v>12</v>
      </c>
      <c r="E109" s="73">
        <v>404.0</v>
      </c>
      <c r="F109" s="72" t="s">
        <v>14</v>
      </c>
      <c r="G109" s="72" t="s">
        <v>13</v>
      </c>
      <c r="H109" s="84" t="s">
        <v>404</v>
      </c>
      <c r="I109" s="86">
        <v>-103.08</v>
      </c>
      <c r="J109" s="86">
        <v>-103.08</v>
      </c>
      <c r="K109" s="86">
        <v>-103.08</v>
      </c>
      <c r="L109" s="86">
        <v>-103.08</v>
      </c>
      <c r="M109" s="86">
        <v>-103.08</v>
      </c>
      <c r="N109" s="86">
        <v>-103.08</v>
      </c>
      <c r="O109" s="86">
        <v>-103.08</v>
      </c>
      <c r="P109" s="86">
        <v>-103.08</v>
      </c>
      <c r="Q109" s="86">
        <v>-103.08</v>
      </c>
      <c r="R109" s="86">
        <v>-103.08</v>
      </c>
      <c r="S109" s="86">
        <v>-103.08</v>
      </c>
      <c r="T109" s="86">
        <v>-103.08</v>
      </c>
      <c r="U109" s="86">
        <v>-103.08</v>
      </c>
      <c r="V109" s="86">
        <v>-103.08</v>
      </c>
      <c r="W109" s="86">
        <v>-103.08</v>
      </c>
      <c r="X109" s="2"/>
      <c r="Y109" s="2"/>
      <c r="Z109" s="2"/>
      <c r="AA109" s="2"/>
      <c r="AB109" s="2"/>
      <c r="AC109" s="2"/>
    </row>
    <row r="110">
      <c r="A110" s="113">
        <v>110.0</v>
      </c>
      <c r="B110" s="73" t="s">
        <v>407</v>
      </c>
      <c r="C110" s="73">
        <v>1.0</v>
      </c>
      <c r="D110" s="73" t="s">
        <v>12</v>
      </c>
      <c r="E110" s="73">
        <v>404.0</v>
      </c>
      <c r="F110" s="72" t="s">
        <v>15</v>
      </c>
      <c r="G110" s="72" t="s">
        <v>13</v>
      </c>
      <c r="H110" s="84" t="s">
        <v>404</v>
      </c>
      <c r="I110" s="86">
        <v>-75.2</v>
      </c>
      <c r="J110" s="86">
        <v>-75.2</v>
      </c>
      <c r="K110" s="86">
        <v>-75.2</v>
      </c>
      <c r="L110" s="86">
        <v>-75.2</v>
      </c>
      <c r="M110" s="86">
        <v>-75.2</v>
      </c>
      <c r="N110" s="86">
        <v>-75.2</v>
      </c>
      <c r="O110" s="86">
        <v>-75.2</v>
      </c>
      <c r="P110" s="86">
        <v>-75.2</v>
      </c>
      <c r="Q110" s="86">
        <v>-75.2</v>
      </c>
      <c r="R110" s="86">
        <v>-75.2</v>
      </c>
      <c r="S110" s="86">
        <v>-75.2</v>
      </c>
      <c r="T110" s="86">
        <v>-75.2</v>
      </c>
      <c r="U110" s="86">
        <v>-75.2</v>
      </c>
      <c r="V110" s="86">
        <v>-75.2</v>
      </c>
      <c r="W110" s="86">
        <v>-75.2</v>
      </c>
      <c r="X110" s="2"/>
      <c r="Y110" s="2"/>
      <c r="Z110" s="2"/>
      <c r="AA110" s="2"/>
      <c r="AB110" s="2"/>
      <c r="AC110" s="2"/>
    </row>
    <row r="111">
      <c r="A111" s="113">
        <v>96.0</v>
      </c>
      <c r="B111" s="73" t="s">
        <v>407</v>
      </c>
      <c r="C111" s="73">
        <v>2.0</v>
      </c>
      <c r="D111" s="73" t="s">
        <v>12</v>
      </c>
      <c r="E111" s="73">
        <v>322.0</v>
      </c>
      <c r="F111" s="94" t="s">
        <v>127</v>
      </c>
      <c r="G111" s="94" t="s">
        <v>126</v>
      </c>
      <c r="H111" s="84" t="s">
        <v>404</v>
      </c>
      <c r="I111" s="132">
        <v>-153.0</v>
      </c>
      <c r="J111" s="132">
        <v>-153.0</v>
      </c>
      <c r="K111" s="132">
        <v>-153.0</v>
      </c>
      <c r="L111" s="132">
        <v>-153.0</v>
      </c>
      <c r="M111" s="132">
        <v>-153.0</v>
      </c>
      <c r="N111" s="132">
        <v>-153.0</v>
      </c>
      <c r="O111" s="132">
        <v>-153.0</v>
      </c>
      <c r="P111" s="132">
        <v>-153.0</v>
      </c>
      <c r="Q111" s="132">
        <v>-153.0</v>
      </c>
      <c r="R111" s="132">
        <v>-153.0</v>
      </c>
      <c r="S111" s="132">
        <v>-153.0</v>
      </c>
      <c r="T111" s="132">
        <v>-153.0</v>
      </c>
      <c r="U111" s="132">
        <v>-153.0</v>
      </c>
      <c r="V111" s="132">
        <v>-153.0</v>
      </c>
      <c r="W111" s="132">
        <v>-153.0</v>
      </c>
      <c r="X111" s="2"/>
      <c r="Y111" s="122"/>
      <c r="Z111" s="123"/>
      <c r="AA111" s="122"/>
      <c r="AB111" s="2"/>
      <c r="AC111" s="2"/>
    </row>
    <row r="112">
      <c r="A112" s="113">
        <v>97.0</v>
      </c>
      <c r="B112" s="73" t="s">
        <v>407</v>
      </c>
      <c r="C112" s="73">
        <v>2.0</v>
      </c>
      <c r="D112" s="73" t="s">
        <v>12</v>
      </c>
      <c r="E112" s="73">
        <v>322.0</v>
      </c>
      <c r="F112" s="94" t="s">
        <v>128</v>
      </c>
      <c r="G112" s="94" t="s">
        <v>126</v>
      </c>
      <c r="H112" s="84" t="s">
        <v>404</v>
      </c>
      <c r="I112" s="132">
        <v>-177.0</v>
      </c>
      <c r="J112" s="132">
        <v>-177.0</v>
      </c>
      <c r="K112" s="132">
        <v>-177.0</v>
      </c>
      <c r="L112" s="132">
        <v>-177.0</v>
      </c>
      <c r="M112" s="132">
        <v>-177.0</v>
      </c>
      <c r="N112" s="132">
        <v>-177.0</v>
      </c>
      <c r="O112" s="132">
        <v>-177.0</v>
      </c>
      <c r="P112" s="132">
        <v>-177.0</v>
      </c>
      <c r="Q112" s="132">
        <v>-177.0</v>
      </c>
      <c r="R112" s="132">
        <v>-177.0</v>
      </c>
      <c r="S112" s="132">
        <v>-177.0</v>
      </c>
      <c r="T112" s="132">
        <v>-177.0</v>
      </c>
      <c r="U112" s="132">
        <v>-177.0</v>
      </c>
      <c r="V112" s="132">
        <v>-177.0</v>
      </c>
      <c r="W112" s="132">
        <v>-177.0</v>
      </c>
      <c r="X112" s="2"/>
      <c r="Y112" s="122"/>
      <c r="Z112" s="123"/>
      <c r="AA112" s="122"/>
      <c r="AB112" s="2"/>
      <c r="AC112" s="2"/>
    </row>
    <row r="113">
      <c r="A113" s="113">
        <v>98.0</v>
      </c>
      <c r="B113" s="73" t="s">
        <v>407</v>
      </c>
      <c r="C113" s="73">
        <v>2.0</v>
      </c>
      <c r="D113" s="73" t="s">
        <v>12</v>
      </c>
      <c r="E113" s="73">
        <v>322.0</v>
      </c>
      <c r="F113" s="94" t="s">
        <v>129</v>
      </c>
      <c r="G113" s="94" t="s">
        <v>126</v>
      </c>
      <c r="H113" s="84" t="s">
        <v>404</v>
      </c>
      <c r="I113" s="132">
        <v>-393.0</v>
      </c>
      <c r="J113" s="132">
        <v>-393.0</v>
      </c>
      <c r="K113" s="132">
        <v>-393.0</v>
      </c>
      <c r="L113" s="132">
        <v>-393.0</v>
      </c>
      <c r="M113" s="132">
        <v>-393.0</v>
      </c>
      <c r="N113" s="132">
        <v>-393.0</v>
      </c>
      <c r="O113" s="132">
        <v>-393.0</v>
      </c>
      <c r="P113" s="132">
        <v>-393.0</v>
      </c>
      <c r="Q113" s="132">
        <v>-393.0</v>
      </c>
      <c r="R113" s="132">
        <v>-393.0</v>
      </c>
      <c r="S113" s="132">
        <v>-393.0</v>
      </c>
      <c r="T113" s="132">
        <v>-393.0</v>
      </c>
      <c r="U113" s="132">
        <v>-393.0</v>
      </c>
      <c r="V113" s="132">
        <v>-393.0</v>
      </c>
      <c r="W113" s="132">
        <v>-393.0</v>
      </c>
      <c r="X113" s="2"/>
      <c r="Y113" s="122"/>
      <c r="Z113" s="123"/>
      <c r="AA113" s="122"/>
      <c r="AB113" s="2"/>
      <c r="AC113" s="2"/>
    </row>
    <row r="114">
      <c r="A114" s="113">
        <v>99.0</v>
      </c>
      <c r="B114" s="73" t="s">
        <v>407</v>
      </c>
      <c r="C114" s="73">
        <v>2.0</v>
      </c>
      <c r="D114" s="73" t="s">
        <v>12</v>
      </c>
      <c r="E114" s="73">
        <v>322.0</v>
      </c>
      <c r="F114" s="94" t="s">
        <v>130</v>
      </c>
      <c r="G114" s="94" t="s">
        <v>126</v>
      </c>
      <c r="H114" s="126"/>
      <c r="I114" s="132">
        <v>-175.0</v>
      </c>
      <c r="J114" s="132">
        <v>-175.0</v>
      </c>
      <c r="K114" s="132">
        <v>-175.0</v>
      </c>
      <c r="L114" s="132">
        <v>-175.0</v>
      </c>
      <c r="M114" s="132">
        <v>-175.0</v>
      </c>
      <c r="N114" s="133">
        <v>0.0</v>
      </c>
      <c r="O114" s="132">
        <v>-175.0</v>
      </c>
      <c r="P114" s="132">
        <v>-175.0</v>
      </c>
      <c r="Q114" s="132">
        <v>-175.0</v>
      </c>
      <c r="R114" s="132">
        <v>-175.0</v>
      </c>
      <c r="S114" s="132">
        <v>-175.0</v>
      </c>
      <c r="T114" s="132">
        <v>-175.0</v>
      </c>
      <c r="U114" s="132">
        <v>-175.0</v>
      </c>
      <c r="V114" s="132">
        <v>-175.0</v>
      </c>
      <c r="W114" s="132">
        <v>-175.0</v>
      </c>
      <c r="X114" s="2"/>
      <c r="Y114" s="122"/>
      <c r="Z114" s="123"/>
      <c r="AA114" s="122"/>
      <c r="AB114" s="2"/>
      <c r="AC114" s="2"/>
    </row>
    <row r="115">
      <c r="A115" s="113">
        <v>100.0</v>
      </c>
      <c r="B115" s="73" t="s">
        <v>407</v>
      </c>
      <c r="C115" s="73">
        <v>2.0</v>
      </c>
      <c r="D115" s="73" t="s">
        <v>12</v>
      </c>
      <c r="E115" s="73">
        <v>322.0</v>
      </c>
      <c r="F115" s="94" t="s">
        <v>131</v>
      </c>
      <c r="G115" s="94" t="s">
        <v>126</v>
      </c>
      <c r="H115" s="84" t="s">
        <v>404</v>
      </c>
      <c r="I115" s="132">
        <v>-196.0</v>
      </c>
      <c r="J115" s="132">
        <v>-196.0</v>
      </c>
      <c r="K115" s="132">
        <v>-196.0</v>
      </c>
      <c r="L115" s="132">
        <v>-196.0</v>
      </c>
      <c r="M115" s="132">
        <v>-196.0</v>
      </c>
      <c r="N115" s="132">
        <v>-196.0</v>
      </c>
      <c r="O115" s="132">
        <v>-196.0</v>
      </c>
      <c r="P115" s="132">
        <v>-196.0</v>
      </c>
      <c r="Q115" s="132">
        <v>-196.0</v>
      </c>
      <c r="R115" s="132">
        <v>-196.0</v>
      </c>
      <c r="S115" s="132">
        <v>-196.0</v>
      </c>
      <c r="T115" s="132">
        <v>-196.0</v>
      </c>
      <c r="U115" s="132">
        <v>-196.0</v>
      </c>
      <c r="V115" s="132">
        <v>-196.0</v>
      </c>
      <c r="W115" s="132">
        <v>-196.0</v>
      </c>
      <c r="X115" s="2"/>
      <c r="Y115" s="122"/>
      <c r="Z115" s="123"/>
      <c r="AA115" s="122"/>
      <c r="AB115" s="2"/>
      <c r="AC115" s="2"/>
    </row>
    <row r="116">
      <c r="A116" s="113">
        <v>101.0</v>
      </c>
      <c r="B116" s="73" t="s">
        <v>407</v>
      </c>
      <c r="C116" s="73">
        <v>2.0</v>
      </c>
      <c r="D116" s="73" t="s">
        <v>12</v>
      </c>
      <c r="E116" s="73">
        <v>322.0</v>
      </c>
      <c r="F116" s="94" t="s">
        <v>132</v>
      </c>
      <c r="G116" s="94" t="s">
        <v>126</v>
      </c>
      <c r="H116" s="84" t="s">
        <v>404</v>
      </c>
      <c r="I116" s="132">
        <v>-175.0</v>
      </c>
      <c r="J116" s="132">
        <v>-175.0</v>
      </c>
      <c r="K116" s="132">
        <v>-175.0</v>
      </c>
      <c r="L116" s="132">
        <v>-175.0</v>
      </c>
      <c r="M116" s="132">
        <v>-175.0</v>
      </c>
      <c r="N116" s="132">
        <v>-175.0</v>
      </c>
      <c r="O116" s="132">
        <v>-175.0</v>
      </c>
      <c r="P116" s="132">
        <v>-175.0</v>
      </c>
      <c r="Q116" s="132">
        <v>-175.0</v>
      </c>
      <c r="R116" s="132">
        <v>-175.0</v>
      </c>
      <c r="S116" s="132">
        <v>-175.0</v>
      </c>
      <c r="T116" s="132">
        <v>-175.0</v>
      </c>
      <c r="U116" s="132">
        <v>-175.0</v>
      </c>
      <c r="V116" s="132">
        <v>-175.0</v>
      </c>
      <c r="W116" s="132">
        <v>-175.0</v>
      </c>
      <c r="X116" s="2"/>
      <c r="Y116" s="122"/>
      <c r="Z116" s="123"/>
      <c r="AA116" s="122"/>
      <c r="AB116" s="2"/>
      <c r="AC116" s="2"/>
    </row>
    <row r="117">
      <c r="A117" s="113">
        <v>106.0</v>
      </c>
      <c r="B117" s="73" t="s">
        <v>407</v>
      </c>
      <c r="C117" s="73">
        <v>2.0</v>
      </c>
      <c r="D117" s="73" t="s">
        <v>12</v>
      </c>
      <c r="E117" s="73">
        <v>421.0</v>
      </c>
      <c r="F117" s="72" t="s">
        <v>134</v>
      </c>
      <c r="G117" s="72" t="s">
        <v>133</v>
      </c>
      <c r="H117" s="84" t="s">
        <v>404</v>
      </c>
      <c r="I117" s="86">
        <v>-30.82</v>
      </c>
      <c r="J117" s="86">
        <v>-38.82</v>
      </c>
      <c r="K117" s="86">
        <v>-42.02</v>
      </c>
      <c r="L117" s="86">
        <v>-40.56</v>
      </c>
      <c r="M117" s="86">
        <v>-33.64</v>
      </c>
      <c r="N117" s="86">
        <v>-34.14</v>
      </c>
      <c r="O117" s="86">
        <v>-34.14</v>
      </c>
      <c r="P117" s="86">
        <v>-34.14</v>
      </c>
      <c r="Q117" s="86">
        <v>-34.14</v>
      </c>
      <c r="R117" s="86">
        <v>-34.14</v>
      </c>
      <c r="S117" s="86">
        <v>-34.14</v>
      </c>
      <c r="T117" s="86">
        <v>-34.14</v>
      </c>
      <c r="U117" s="86">
        <v>-34.14</v>
      </c>
      <c r="V117" s="86">
        <v>-34.14</v>
      </c>
      <c r="W117" s="86">
        <v>-34.14</v>
      </c>
      <c r="X117" s="2"/>
      <c r="Y117" s="2"/>
      <c r="Z117" s="2"/>
      <c r="AA117" s="2"/>
      <c r="AB117" s="2"/>
      <c r="AC117" s="2"/>
    </row>
    <row r="118">
      <c r="A118" s="113">
        <v>105.0</v>
      </c>
      <c r="B118" s="73" t="s">
        <v>407</v>
      </c>
      <c r="C118" s="73">
        <v>2.0</v>
      </c>
      <c r="D118" s="73" t="s">
        <v>12</v>
      </c>
      <c r="E118" s="73">
        <v>422.0</v>
      </c>
      <c r="F118" s="72" t="s">
        <v>135</v>
      </c>
      <c r="G118" s="72" t="s">
        <v>133</v>
      </c>
      <c r="H118" s="84" t="s">
        <v>404</v>
      </c>
      <c r="I118" s="92">
        <v>-15.76</v>
      </c>
      <c r="J118" s="92">
        <v>-14.94</v>
      </c>
      <c r="K118" s="92">
        <v>-23.17</v>
      </c>
      <c r="L118" s="92">
        <v>-22.92</v>
      </c>
      <c r="M118" s="92">
        <v>-23.96</v>
      </c>
      <c r="N118" s="92">
        <v>-21.95</v>
      </c>
      <c r="O118" s="92">
        <v>-21.95</v>
      </c>
      <c r="P118" s="92">
        <v>-21.95</v>
      </c>
      <c r="Q118" s="92">
        <v>-21.95</v>
      </c>
      <c r="R118" s="92">
        <v>-21.95</v>
      </c>
      <c r="S118" s="92">
        <v>-21.95</v>
      </c>
      <c r="T118" s="92">
        <v>-21.95</v>
      </c>
      <c r="U118" s="92">
        <v>-21.95</v>
      </c>
      <c r="V118" s="92">
        <v>-21.95</v>
      </c>
      <c r="W118" s="92">
        <v>-21.95</v>
      </c>
      <c r="X118" s="2"/>
      <c r="Y118" s="2"/>
      <c r="Z118" s="2"/>
      <c r="AA118" s="2"/>
      <c r="AB118" s="2"/>
      <c r="AC118" s="2"/>
    </row>
    <row r="119">
      <c r="A119" s="113">
        <v>111.0</v>
      </c>
      <c r="B119" s="73" t="s">
        <v>407</v>
      </c>
      <c r="C119" s="73">
        <v>3.0</v>
      </c>
      <c r="D119" s="73" t="s">
        <v>12</v>
      </c>
      <c r="E119" s="73">
        <v>310.0</v>
      </c>
      <c r="F119" s="91" t="s">
        <v>138</v>
      </c>
      <c r="G119" s="91" t="s">
        <v>137</v>
      </c>
      <c r="H119" s="84" t="s">
        <v>404</v>
      </c>
      <c r="I119" s="86">
        <v>-1161.92</v>
      </c>
      <c r="J119" s="86">
        <v>-1161.92</v>
      </c>
      <c r="K119" s="86">
        <v>-1161.92</v>
      </c>
      <c r="L119" s="86">
        <v>-1161.92</v>
      </c>
      <c r="M119" s="86">
        <v>-1161.92</v>
      </c>
      <c r="N119" s="86">
        <v>-1161.92</v>
      </c>
      <c r="O119" s="86">
        <v>-1161.92</v>
      </c>
      <c r="P119" s="86">
        <v>-1161.92</v>
      </c>
      <c r="Q119" s="86">
        <v>-1161.92</v>
      </c>
      <c r="R119" s="86">
        <v>-1161.92</v>
      </c>
      <c r="S119" s="86">
        <v>-1161.92</v>
      </c>
      <c r="T119" s="86">
        <v>-1161.92</v>
      </c>
      <c r="U119" s="86">
        <v>-1161.92</v>
      </c>
      <c r="V119" s="86">
        <v>-1161.92</v>
      </c>
      <c r="W119" s="86">
        <v>-1161.92</v>
      </c>
      <c r="X119" s="2"/>
      <c r="Y119" s="2"/>
      <c r="Z119" s="2"/>
      <c r="AA119" s="2"/>
      <c r="AB119" s="2"/>
      <c r="AC119" s="2"/>
    </row>
    <row r="120">
      <c r="A120" s="113">
        <v>23.0</v>
      </c>
      <c r="B120" s="73" t="s">
        <v>407</v>
      </c>
      <c r="C120" s="73">
        <v>1.0</v>
      </c>
      <c r="D120" s="73" t="s">
        <v>12</v>
      </c>
      <c r="E120" s="73">
        <v>323.0</v>
      </c>
      <c r="F120" s="72" t="s">
        <v>28</v>
      </c>
      <c r="G120" s="72" t="s">
        <v>27</v>
      </c>
      <c r="H120" s="84" t="s">
        <v>404</v>
      </c>
      <c r="I120" s="86">
        <v>-28.71</v>
      </c>
      <c r="J120" s="86">
        <v>-28.71</v>
      </c>
      <c r="K120" s="86">
        <v>-28.71</v>
      </c>
      <c r="L120" s="86">
        <v>-28.71</v>
      </c>
      <c r="M120" s="86">
        <v>-28.71</v>
      </c>
      <c r="N120" s="86">
        <v>-28.71</v>
      </c>
      <c r="O120" s="86">
        <v>-28.71</v>
      </c>
      <c r="P120" s="86">
        <v>-28.71</v>
      </c>
      <c r="Q120" s="86">
        <v>-28.71</v>
      </c>
      <c r="R120" s="86">
        <v>-28.71</v>
      </c>
      <c r="S120" s="86">
        <v>-28.71</v>
      </c>
      <c r="T120" s="86">
        <v>-28.71</v>
      </c>
      <c r="U120" s="86">
        <v>-28.71</v>
      </c>
      <c r="V120" s="86">
        <v>-28.71</v>
      </c>
      <c r="W120" s="86">
        <v>-28.71</v>
      </c>
      <c r="X120" s="2"/>
      <c r="Y120" s="2"/>
      <c r="Z120" s="2"/>
      <c r="AA120" s="2"/>
      <c r="AB120" s="2"/>
      <c r="AC120" s="2"/>
    </row>
    <row r="121">
      <c r="A121" s="113">
        <v>24.0</v>
      </c>
      <c r="B121" s="73" t="s">
        <v>407</v>
      </c>
      <c r="C121" s="73">
        <v>1.0</v>
      </c>
      <c r="D121" s="73" t="s">
        <v>12</v>
      </c>
      <c r="E121" s="73">
        <v>323.0</v>
      </c>
      <c r="F121" s="72" t="s">
        <v>29</v>
      </c>
      <c r="G121" s="72" t="s">
        <v>27</v>
      </c>
      <c r="H121" s="84" t="s">
        <v>404</v>
      </c>
      <c r="I121" s="86">
        <v>-37.86</v>
      </c>
      <c r="J121" s="86">
        <v>-37.86</v>
      </c>
      <c r="K121" s="86">
        <v>-37.86</v>
      </c>
      <c r="L121" s="86">
        <v>-28.69</v>
      </c>
      <c r="M121" s="86">
        <v>-32.86</v>
      </c>
      <c r="N121" s="86">
        <v>-32.86</v>
      </c>
      <c r="O121" s="86">
        <v>-32.86</v>
      </c>
      <c r="P121" s="86">
        <v>-32.86</v>
      </c>
      <c r="Q121" s="86">
        <v>-32.86</v>
      </c>
      <c r="R121" s="86">
        <v>-32.86</v>
      </c>
      <c r="S121" s="86">
        <v>-32.86</v>
      </c>
      <c r="T121" s="86">
        <v>-32.86</v>
      </c>
      <c r="U121" s="86">
        <v>-32.86</v>
      </c>
      <c r="V121" s="86">
        <v>-32.86</v>
      </c>
      <c r="W121" s="86">
        <v>-32.86</v>
      </c>
      <c r="X121" s="2"/>
      <c r="Y121" s="2"/>
      <c r="Z121" s="2"/>
      <c r="AA121" s="2"/>
      <c r="AB121" s="2"/>
      <c r="AC121" s="2"/>
    </row>
    <row r="122">
      <c r="A122" s="113">
        <v>107.0</v>
      </c>
      <c r="B122" s="73" t="s">
        <v>407</v>
      </c>
      <c r="C122" s="73">
        <v>2.0</v>
      </c>
      <c r="D122" s="73" t="s">
        <v>12</v>
      </c>
      <c r="E122" s="73">
        <v>422.0</v>
      </c>
      <c r="F122" s="72" t="s">
        <v>136</v>
      </c>
      <c r="G122" s="72" t="s">
        <v>136</v>
      </c>
      <c r="H122" s="84" t="s">
        <v>404</v>
      </c>
      <c r="I122" s="86">
        <f>-11.48-11.48</f>
        <v>-22.96</v>
      </c>
      <c r="J122" s="86">
        <v>0.0</v>
      </c>
      <c r="K122" s="86">
        <f>-11.48-11.48</f>
        <v>-22.96</v>
      </c>
      <c r="L122" s="86">
        <v>-11.48</v>
      </c>
      <c r="M122" s="86">
        <v>0.0</v>
      </c>
      <c r="N122" s="86">
        <v>-11.48</v>
      </c>
      <c r="O122" s="86">
        <v>-11.48</v>
      </c>
      <c r="P122" s="86">
        <v>-11.48</v>
      </c>
      <c r="Q122" s="86">
        <v>-11.48</v>
      </c>
      <c r="R122" s="86">
        <v>-11.48</v>
      </c>
      <c r="S122" s="86">
        <v>-11.48</v>
      </c>
      <c r="T122" s="86">
        <v>-11.48</v>
      </c>
      <c r="U122" s="86">
        <v>-11.48</v>
      </c>
      <c r="V122" s="86">
        <v>-11.48</v>
      </c>
      <c r="W122" s="86">
        <v>-11.48</v>
      </c>
      <c r="X122" s="2"/>
      <c r="Y122" s="2"/>
      <c r="Z122" s="2"/>
      <c r="AA122" s="2"/>
      <c r="AB122" s="2"/>
      <c r="AC122" s="2"/>
    </row>
    <row r="123">
      <c r="A123" s="113">
        <v>158.0</v>
      </c>
      <c r="B123" s="73" t="s">
        <v>407</v>
      </c>
      <c r="C123" s="73">
        <v>2.0</v>
      </c>
      <c r="D123" s="73" t="s">
        <v>12</v>
      </c>
      <c r="E123" s="73">
        <v>361.0</v>
      </c>
      <c r="F123" s="72" t="s">
        <v>461</v>
      </c>
      <c r="G123" s="72" t="s">
        <v>461</v>
      </c>
      <c r="H123" s="84"/>
      <c r="I123" s="86"/>
      <c r="K123" s="86">
        <v>-176.48</v>
      </c>
      <c r="L123" s="86"/>
      <c r="M123" s="86"/>
      <c r="N123" s="86"/>
      <c r="O123" s="86"/>
      <c r="P123" s="86"/>
      <c r="Q123" s="86"/>
      <c r="R123" s="86"/>
      <c r="S123" s="86"/>
      <c r="T123" s="86"/>
      <c r="U123" s="86"/>
      <c r="V123" s="86"/>
      <c r="W123" s="86">
        <v>-176.48</v>
      </c>
      <c r="X123" s="2"/>
      <c r="Y123" s="2"/>
      <c r="Z123" s="2"/>
      <c r="AA123" s="2"/>
      <c r="AB123" s="2"/>
      <c r="AC123" s="2"/>
    </row>
    <row r="124">
      <c r="A124" s="113">
        <v>157.0</v>
      </c>
      <c r="B124" s="73" t="s">
        <v>407</v>
      </c>
      <c r="C124" s="73">
        <v>2.0</v>
      </c>
      <c r="D124" s="73" t="s">
        <v>12</v>
      </c>
      <c r="E124" s="73">
        <v>361.0</v>
      </c>
      <c r="F124" s="72" t="s">
        <v>460</v>
      </c>
      <c r="G124" s="72" t="s">
        <v>460</v>
      </c>
      <c r="H124" s="84"/>
      <c r="I124" s="2"/>
      <c r="K124" s="86">
        <v>-176.48</v>
      </c>
      <c r="L124" s="2"/>
      <c r="M124" s="2"/>
      <c r="N124" s="2"/>
      <c r="O124" s="2"/>
      <c r="P124" s="2"/>
      <c r="Q124" s="2"/>
      <c r="R124" s="2"/>
      <c r="S124" s="2"/>
      <c r="T124" s="2"/>
      <c r="U124" s="2"/>
      <c r="V124" s="2"/>
      <c r="W124" s="86">
        <v>-176.48</v>
      </c>
      <c r="X124" s="2"/>
      <c r="Y124" s="2"/>
      <c r="Z124" s="2"/>
      <c r="AA124" s="2"/>
      <c r="AB124" s="2"/>
      <c r="AC124" s="2"/>
    </row>
    <row r="125">
      <c r="A125" s="113">
        <v>162.0</v>
      </c>
      <c r="B125" s="73" t="s">
        <v>407</v>
      </c>
      <c r="C125" s="73">
        <v>2.0</v>
      </c>
      <c r="D125" s="73" t="s">
        <v>12</v>
      </c>
      <c r="E125" s="73">
        <v>361.0</v>
      </c>
      <c r="F125" s="72" t="s">
        <v>538</v>
      </c>
      <c r="G125" s="72" t="s">
        <v>538</v>
      </c>
      <c r="H125" s="84"/>
      <c r="I125" s="86"/>
      <c r="K125" s="86">
        <f>3*-61.48</f>
        <v>-184.44</v>
      </c>
      <c r="L125" s="86"/>
      <c r="M125" s="86"/>
      <c r="N125" s="86"/>
      <c r="O125" s="86"/>
      <c r="P125" s="86"/>
      <c r="Q125" s="86"/>
      <c r="R125" s="86"/>
      <c r="S125" s="86"/>
      <c r="T125" s="86"/>
      <c r="U125" s="86"/>
      <c r="V125" s="86"/>
      <c r="W125" s="86">
        <f>3*-61.48</f>
        <v>-184.44</v>
      </c>
      <c r="X125" s="2"/>
      <c r="Y125" s="2"/>
      <c r="Z125" s="2"/>
      <c r="AA125" s="2"/>
      <c r="AB125" s="2"/>
      <c r="AC125" s="2"/>
    </row>
    <row r="126">
      <c r="A126" s="113">
        <v>163.0</v>
      </c>
      <c r="B126" s="73" t="s">
        <v>407</v>
      </c>
      <c r="C126" s="73">
        <v>2.0</v>
      </c>
      <c r="D126" s="73" t="s">
        <v>12</v>
      </c>
      <c r="E126" s="73">
        <v>361.0</v>
      </c>
      <c r="F126" s="72" t="s">
        <v>539</v>
      </c>
      <c r="G126" s="72" t="s">
        <v>539</v>
      </c>
      <c r="H126" s="84"/>
      <c r="I126" s="86"/>
      <c r="K126" s="86">
        <f>-61.48-61.48-46.48-46.48</f>
        <v>-215.92</v>
      </c>
      <c r="L126" s="86"/>
      <c r="M126" s="86"/>
      <c r="N126" s="86"/>
      <c r="O126" s="86"/>
      <c r="P126" s="86"/>
      <c r="Q126" s="86"/>
      <c r="R126" s="86"/>
      <c r="S126" s="86"/>
      <c r="T126" s="86"/>
      <c r="U126" s="86"/>
      <c r="V126" s="86"/>
      <c r="W126" s="86">
        <f>-61.48-61.48-46.48-46.48</f>
        <v>-215.92</v>
      </c>
      <c r="X126" s="2"/>
      <c r="Y126" s="2"/>
      <c r="Z126" s="2"/>
      <c r="AA126" s="2"/>
      <c r="AB126" s="2"/>
      <c r="AC126" s="2"/>
    </row>
    <row r="127">
      <c r="A127" s="113">
        <v>159.0</v>
      </c>
      <c r="B127" s="73" t="s">
        <v>407</v>
      </c>
      <c r="C127" s="73">
        <v>2.0</v>
      </c>
      <c r="D127" s="73" t="s">
        <v>12</v>
      </c>
      <c r="E127" s="73">
        <v>361.0</v>
      </c>
      <c r="F127" s="72" t="s">
        <v>466</v>
      </c>
      <c r="G127" s="72" t="s">
        <v>466</v>
      </c>
      <c r="H127" s="84"/>
      <c r="I127" s="86"/>
      <c r="K127" s="86">
        <v>-176.48</v>
      </c>
      <c r="L127" s="86"/>
      <c r="M127" s="86"/>
      <c r="N127" s="86"/>
      <c r="O127" s="86"/>
      <c r="P127" s="86"/>
      <c r="Q127" s="86"/>
      <c r="R127" s="86"/>
      <c r="S127" s="86"/>
      <c r="T127" s="86"/>
      <c r="U127" s="86"/>
      <c r="V127" s="86"/>
      <c r="W127" s="86">
        <v>-176.48</v>
      </c>
      <c r="X127" s="2"/>
      <c r="Y127" s="2"/>
      <c r="Z127" s="2"/>
      <c r="AA127" s="2"/>
      <c r="AB127" s="2"/>
      <c r="AC127" s="2"/>
    </row>
    <row r="128">
      <c r="A128" s="113">
        <v>161.0</v>
      </c>
      <c r="B128" s="73" t="s">
        <v>407</v>
      </c>
      <c r="C128" s="73">
        <v>2.0</v>
      </c>
      <c r="D128" s="73" t="s">
        <v>12</v>
      </c>
      <c r="E128" s="73">
        <v>361.0</v>
      </c>
      <c r="F128" s="72" t="s">
        <v>468</v>
      </c>
      <c r="G128" s="72" t="s">
        <v>468</v>
      </c>
      <c r="H128" s="84"/>
      <c r="I128" s="86"/>
      <c r="K128" s="86">
        <v>-176.48</v>
      </c>
      <c r="L128" s="86"/>
      <c r="M128" s="86"/>
      <c r="N128" s="86"/>
      <c r="O128" s="86"/>
      <c r="P128" s="86"/>
      <c r="Q128" s="86"/>
      <c r="R128" s="86"/>
      <c r="S128" s="86"/>
      <c r="T128" s="86"/>
      <c r="U128" s="86"/>
      <c r="V128" s="86"/>
      <c r="W128" s="86">
        <v>-176.48</v>
      </c>
      <c r="X128" s="2"/>
      <c r="Y128" s="2"/>
      <c r="Z128" s="2"/>
      <c r="AA128" s="2"/>
      <c r="AB128" s="2"/>
      <c r="AC128" s="2"/>
    </row>
    <row r="129">
      <c r="A129" s="113">
        <v>160.0</v>
      </c>
      <c r="B129" s="73" t="s">
        <v>407</v>
      </c>
      <c r="C129" s="73">
        <v>2.0</v>
      </c>
      <c r="D129" s="73" t="s">
        <v>12</v>
      </c>
      <c r="E129" s="73">
        <v>361.0</v>
      </c>
      <c r="F129" s="72" t="s">
        <v>467</v>
      </c>
      <c r="G129" s="72" t="s">
        <v>467</v>
      </c>
      <c r="H129" s="84"/>
      <c r="I129" s="86"/>
      <c r="K129" s="86">
        <v>-176.48</v>
      </c>
      <c r="L129" s="86"/>
      <c r="M129" s="86"/>
      <c r="N129" s="86"/>
      <c r="O129" s="86"/>
      <c r="P129" s="86"/>
      <c r="Q129" s="86"/>
      <c r="R129" s="86"/>
      <c r="S129" s="86"/>
      <c r="T129" s="86"/>
      <c r="U129" s="86"/>
      <c r="V129" s="86"/>
      <c r="W129" s="86">
        <v>-176.48</v>
      </c>
      <c r="X129" s="2"/>
      <c r="Y129" s="2"/>
      <c r="Z129" s="2"/>
      <c r="AA129" s="2"/>
      <c r="AB129" s="2"/>
      <c r="AC129" s="2"/>
    </row>
    <row r="130">
      <c r="A130" s="113">
        <v>121.0</v>
      </c>
      <c r="B130" s="73" t="s">
        <v>407</v>
      </c>
      <c r="C130" s="73">
        <v>6.0</v>
      </c>
      <c r="D130" s="73" t="s">
        <v>12</v>
      </c>
      <c r="E130" s="73">
        <v>421.0</v>
      </c>
      <c r="F130" s="72" t="s">
        <v>141</v>
      </c>
      <c r="G130" s="72" t="s">
        <v>140</v>
      </c>
      <c r="H130" s="84"/>
      <c r="I130" s="86">
        <v>-19.68</v>
      </c>
      <c r="J130" s="86">
        <v>-19.68</v>
      </c>
      <c r="K130" s="86">
        <v>-19.68</v>
      </c>
      <c r="L130" s="86">
        <v>-19.68</v>
      </c>
      <c r="M130" s="86">
        <v>-19.68</v>
      </c>
      <c r="N130" s="86">
        <v>-19.68</v>
      </c>
      <c r="O130" s="86">
        <v>-19.68</v>
      </c>
      <c r="P130" s="86">
        <v>-19.68</v>
      </c>
      <c r="Q130" s="86">
        <v>-19.68</v>
      </c>
      <c r="R130" s="86">
        <v>-19.68</v>
      </c>
      <c r="S130" s="86">
        <v>-19.68</v>
      </c>
      <c r="T130" s="86">
        <v>-19.68</v>
      </c>
      <c r="U130" s="86">
        <v>-19.68</v>
      </c>
      <c r="V130" s="86">
        <v>-19.68</v>
      </c>
      <c r="W130" s="86">
        <v>-19.68</v>
      </c>
      <c r="X130" s="2"/>
      <c r="Y130" s="2"/>
      <c r="Z130" s="2"/>
      <c r="AA130" s="2"/>
      <c r="AB130" s="2"/>
      <c r="AC130" s="2"/>
    </row>
    <row r="131">
      <c r="A131" s="113">
        <v>132.0</v>
      </c>
      <c r="B131" s="73" t="s">
        <v>407</v>
      </c>
      <c r="C131" s="73">
        <v>3.0</v>
      </c>
      <c r="D131" s="73" t="s">
        <v>12</v>
      </c>
      <c r="E131" s="73">
        <v>441.0</v>
      </c>
      <c r="F131" s="72" t="s">
        <v>450</v>
      </c>
      <c r="G131" s="72" t="s">
        <v>540</v>
      </c>
      <c r="H131" s="86"/>
      <c r="I131" s="86"/>
      <c r="J131" s="86"/>
      <c r="K131" s="86"/>
      <c r="M131" s="2"/>
      <c r="N131" s="86"/>
      <c r="O131" s="86"/>
      <c r="P131" s="86"/>
      <c r="Q131" s="86">
        <v>-95.0</v>
      </c>
      <c r="R131" s="86"/>
      <c r="S131" s="86"/>
      <c r="T131" s="86"/>
      <c r="U131" s="86"/>
      <c r="V131" s="86"/>
      <c r="W131" s="86"/>
      <c r="X131" s="2"/>
      <c r="Y131" s="2"/>
      <c r="Z131" s="2"/>
      <c r="AA131" s="2"/>
      <c r="AB131" s="2"/>
      <c r="AC131" s="2"/>
    </row>
    <row r="132">
      <c r="A132" s="113">
        <v>112.0</v>
      </c>
      <c r="B132" s="73" t="s">
        <v>541</v>
      </c>
      <c r="C132" s="73">
        <v>4.0</v>
      </c>
      <c r="D132" s="73" t="s">
        <v>12</v>
      </c>
      <c r="E132" s="73">
        <v>402.0</v>
      </c>
      <c r="F132" s="72" t="s">
        <v>542</v>
      </c>
      <c r="G132" s="72" t="s">
        <v>499</v>
      </c>
      <c r="H132" s="86"/>
      <c r="I132" s="86"/>
      <c r="J132" s="86"/>
      <c r="K132" s="86"/>
      <c r="L132" s="86"/>
      <c r="M132" s="86"/>
      <c r="O132" s="86">
        <v>5000.0</v>
      </c>
      <c r="P132" s="86"/>
      <c r="Q132" s="86"/>
      <c r="R132" s="86"/>
      <c r="S132" s="86"/>
      <c r="T132" s="86"/>
      <c r="U132" s="86"/>
      <c r="V132" s="86"/>
      <c r="W132" s="86"/>
      <c r="X132" s="2"/>
      <c r="Y132" s="2"/>
      <c r="Z132" s="2"/>
      <c r="AA132" s="2"/>
      <c r="AB132" s="2"/>
      <c r="AC132" s="2"/>
    </row>
    <row r="133">
      <c r="A133" s="113">
        <v>113.0</v>
      </c>
      <c r="B133" s="73" t="s">
        <v>407</v>
      </c>
      <c r="C133" s="73">
        <v>5.0</v>
      </c>
      <c r="D133" s="73" t="s">
        <v>43</v>
      </c>
      <c r="E133" s="73">
        <v>324.0</v>
      </c>
      <c r="F133" s="72" t="s">
        <v>543</v>
      </c>
      <c r="G133" s="72" t="s">
        <v>41</v>
      </c>
      <c r="H133" s="84"/>
      <c r="I133" s="86">
        <v>-5.99</v>
      </c>
      <c r="J133" s="86">
        <v>-5.99</v>
      </c>
      <c r="K133" s="86">
        <v>-5.99</v>
      </c>
      <c r="L133" s="86">
        <v>-5.99</v>
      </c>
      <c r="M133" s="86">
        <v>-5.99</v>
      </c>
      <c r="N133" s="86">
        <v>-5.99</v>
      </c>
      <c r="O133" s="86">
        <v>-5.99</v>
      </c>
      <c r="P133" s="86">
        <v>-5.99</v>
      </c>
      <c r="Q133" s="86">
        <v>-5.99</v>
      </c>
      <c r="R133" s="86">
        <v>-5.99</v>
      </c>
      <c r="S133" s="86">
        <v>-5.99</v>
      </c>
      <c r="T133" s="86">
        <v>-5.99</v>
      </c>
      <c r="U133" s="86">
        <v>-5.99</v>
      </c>
      <c r="V133" s="86">
        <v>-5.99</v>
      </c>
      <c r="W133" s="86">
        <v>-5.99</v>
      </c>
      <c r="X133" s="2"/>
      <c r="Y133" s="2"/>
      <c r="Z133" s="2"/>
      <c r="AA133" s="2"/>
      <c r="AB133" s="2"/>
      <c r="AC133" s="2"/>
    </row>
    <row r="134">
      <c r="A134" s="113">
        <v>114.0</v>
      </c>
      <c r="B134" s="73" t="s">
        <v>407</v>
      </c>
      <c r="C134" s="73">
        <v>6.0</v>
      </c>
      <c r="D134" s="73" t="s">
        <v>12</v>
      </c>
      <c r="E134" s="73">
        <v>323.0</v>
      </c>
      <c r="F134" s="72" t="s">
        <v>143</v>
      </c>
      <c r="G134" s="72" t="s">
        <v>142</v>
      </c>
      <c r="H134" s="128"/>
      <c r="I134" s="86">
        <v>-66.22</v>
      </c>
      <c r="J134" s="86">
        <v>-66.22</v>
      </c>
      <c r="K134" s="86">
        <v>-66.23</v>
      </c>
      <c r="L134" s="86">
        <v>-66.23</v>
      </c>
      <c r="M134" s="86">
        <v>-66.23</v>
      </c>
      <c r="N134" s="86">
        <v>-66.23</v>
      </c>
      <c r="O134" s="86">
        <v>-66.23</v>
      </c>
      <c r="P134" s="86">
        <v>-66.23</v>
      </c>
      <c r="Q134" s="86">
        <v>-66.23</v>
      </c>
      <c r="R134" s="86">
        <v>-66.23</v>
      </c>
      <c r="S134" s="86">
        <v>-66.23</v>
      </c>
      <c r="T134" s="86">
        <v>-66.23</v>
      </c>
      <c r="U134" s="86">
        <v>-66.23</v>
      </c>
      <c r="V134" s="86">
        <v>-66.23</v>
      </c>
      <c r="W134" s="86">
        <v>-66.23</v>
      </c>
      <c r="X134" s="2"/>
      <c r="Y134" s="2"/>
      <c r="Z134" s="2"/>
      <c r="AA134" s="2"/>
      <c r="AB134" s="2"/>
      <c r="AC134" s="2"/>
    </row>
    <row r="135">
      <c r="A135" s="113">
        <v>115.0</v>
      </c>
      <c r="B135" s="73" t="s">
        <v>407</v>
      </c>
      <c r="C135" s="73">
        <v>6.0</v>
      </c>
      <c r="D135" s="73" t="s">
        <v>12</v>
      </c>
      <c r="E135" s="73">
        <v>323.0</v>
      </c>
      <c r="F135" s="72" t="s">
        <v>144</v>
      </c>
      <c r="G135" s="72" t="s">
        <v>142</v>
      </c>
      <c r="H135" s="129"/>
      <c r="I135" s="86">
        <v>-63.4</v>
      </c>
      <c r="J135" s="86">
        <v>-63.4</v>
      </c>
      <c r="K135" s="86">
        <v>-63.396</v>
      </c>
      <c r="L135" s="86">
        <v>-63.396</v>
      </c>
      <c r="M135" s="86">
        <v>-63.396</v>
      </c>
      <c r="N135" s="86">
        <v>-63.396</v>
      </c>
      <c r="O135" s="86">
        <v>-63.396</v>
      </c>
      <c r="P135" s="86">
        <v>-63.396</v>
      </c>
      <c r="Q135" s="86">
        <v>-63.396</v>
      </c>
      <c r="R135" s="86">
        <v>-63.396</v>
      </c>
      <c r="S135" s="86">
        <v>-63.396</v>
      </c>
      <c r="T135" s="86">
        <v>-63.396</v>
      </c>
      <c r="U135" s="86">
        <v>-63.396</v>
      </c>
      <c r="V135" s="86">
        <v>-63.396</v>
      </c>
      <c r="W135" s="86">
        <v>-63.396</v>
      </c>
      <c r="X135" s="2"/>
      <c r="Y135" s="2"/>
      <c r="Z135" s="2"/>
      <c r="AA135" s="2"/>
      <c r="AB135" s="2"/>
      <c r="AC135" s="2"/>
    </row>
    <row r="136">
      <c r="A136" s="113">
        <v>116.0</v>
      </c>
      <c r="B136" s="73" t="s">
        <v>407</v>
      </c>
      <c r="C136" s="73">
        <v>6.0</v>
      </c>
      <c r="D136" s="73" t="s">
        <v>12</v>
      </c>
      <c r="E136" s="73">
        <v>323.0</v>
      </c>
      <c r="F136" s="72" t="s">
        <v>145</v>
      </c>
      <c r="G136" s="72" t="s">
        <v>142</v>
      </c>
      <c r="H136" s="129"/>
      <c r="I136" s="86">
        <v>-71.54</v>
      </c>
      <c r="J136" s="86">
        <v>-71.54</v>
      </c>
      <c r="K136" s="86">
        <v>-71.54</v>
      </c>
      <c r="L136" s="86">
        <v>-71.54</v>
      </c>
      <c r="M136" s="86">
        <v>-71.54</v>
      </c>
      <c r="N136" s="86">
        <v>-71.54</v>
      </c>
      <c r="O136" s="86">
        <v>-71.54</v>
      </c>
      <c r="P136" s="86">
        <v>-71.54</v>
      </c>
      <c r="Q136" s="86">
        <v>-71.54</v>
      </c>
      <c r="R136" s="86">
        <v>-71.54</v>
      </c>
      <c r="S136" s="86">
        <v>-71.54</v>
      </c>
      <c r="T136" s="86">
        <v>-71.54</v>
      </c>
      <c r="U136" s="86">
        <v>-71.54</v>
      </c>
      <c r="V136" s="86">
        <v>-71.54</v>
      </c>
      <c r="W136" s="86">
        <v>-71.54</v>
      </c>
      <c r="X136" s="2"/>
      <c r="Y136" s="2"/>
      <c r="Z136" s="2"/>
      <c r="AA136" s="2"/>
      <c r="AB136" s="2"/>
      <c r="AC136" s="2"/>
    </row>
    <row r="137">
      <c r="A137" s="113">
        <v>117.0</v>
      </c>
      <c r="B137" s="73" t="s">
        <v>407</v>
      </c>
      <c r="C137" s="73">
        <v>6.0</v>
      </c>
      <c r="D137" s="73" t="s">
        <v>12</v>
      </c>
      <c r="E137" s="73">
        <v>323.0</v>
      </c>
      <c r="F137" s="72" t="s">
        <v>146</v>
      </c>
      <c r="G137" s="72" t="s">
        <v>142</v>
      </c>
      <c r="H137" s="129"/>
      <c r="I137" s="86">
        <v>-63.4</v>
      </c>
      <c r="J137" s="86">
        <v>-63.4</v>
      </c>
      <c r="K137" s="86">
        <v>-63.396</v>
      </c>
      <c r="L137" s="86">
        <v>-63.396</v>
      </c>
      <c r="M137" s="86">
        <v>-63.396</v>
      </c>
      <c r="N137" s="86">
        <v>-63.396</v>
      </c>
      <c r="O137" s="86">
        <v>-63.396</v>
      </c>
      <c r="P137" s="86">
        <v>-63.396</v>
      </c>
      <c r="Q137" s="86">
        <v>-63.396</v>
      </c>
      <c r="R137" s="86">
        <v>-63.396</v>
      </c>
      <c r="S137" s="86">
        <v>-63.396</v>
      </c>
      <c r="T137" s="86">
        <v>-63.396</v>
      </c>
      <c r="U137" s="86">
        <v>-63.396</v>
      </c>
      <c r="V137" s="86">
        <v>-63.396</v>
      </c>
      <c r="W137" s="86">
        <v>-63.396</v>
      </c>
      <c r="X137" s="2"/>
      <c r="Y137" s="2"/>
      <c r="Z137" s="2"/>
      <c r="AA137" s="2"/>
      <c r="AB137" s="2"/>
      <c r="AC137" s="2"/>
    </row>
    <row r="138">
      <c r="A138" s="113">
        <v>118.0</v>
      </c>
      <c r="B138" s="73" t="s">
        <v>407</v>
      </c>
      <c r="C138" s="73">
        <v>6.0</v>
      </c>
      <c r="D138" s="73" t="s">
        <v>12</v>
      </c>
      <c r="E138" s="73">
        <v>323.0</v>
      </c>
      <c r="F138" s="72" t="s">
        <v>147</v>
      </c>
      <c r="G138" s="72" t="s">
        <v>142</v>
      </c>
      <c r="H138" s="130"/>
      <c r="I138" s="86">
        <v>-66.22</v>
      </c>
      <c r="J138" s="86">
        <v>-66.22</v>
      </c>
      <c r="K138" s="86">
        <v>-66.216</v>
      </c>
      <c r="L138" s="86">
        <v>-66.216</v>
      </c>
      <c r="M138" s="86">
        <v>-66.216</v>
      </c>
      <c r="N138" s="86">
        <v>-66.216</v>
      </c>
      <c r="O138" s="86">
        <v>-66.216</v>
      </c>
      <c r="P138" s="86">
        <v>-66.216</v>
      </c>
      <c r="Q138" s="86">
        <v>-66.216</v>
      </c>
      <c r="R138" s="86">
        <v>-66.216</v>
      </c>
      <c r="S138" s="86">
        <v>-66.216</v>
      </c>
      <c r="T138" s="86">
        <v>-66.216</v>
      </c>
      <c r="U138" s="86">
        <v>-66.216</v>
      </c>
      <c r="V138" s="86">
        <v>-66.216</v>
      </c>
      <c r="W138" s="86">
        <v>-66.216</v>
      </c>
      <c r="X138" s="2"/>
      <c r="Y138" s="2"/>
      <c r="Z138" s="2"/>
      <c r="AA138" s="2"/>
      <c r="AB138" s="2"/>
      <c r="AC138" s="2"/>
    </row>
    <row r="139">
      <c r="A139" s="113">
        <v>133.0</v>
      </c>
      <c r="B139" s="73" t="s">
        <v>407</v>
      </c>
      <c r="C139" s="73">
        <v>6.0</v>
      </c>
      <c r="D139" s="73" t="s">
        <v>12</v>
      </c>
      <c r="E139" s="73">
        <v>327.0</v>
      </c>
      <c r="F139" s="72" t="s">
        <v>451</v>
      </c>
      <c r="G139" s="72" t="s">
        <v>544</v>
      </c>
      <c r="H139" s="84"/>
      <c r="I139" s="2"/>
      <c r="J139" s="2"/>
      <c r="K139" s="86">
        <v>-20.0</v>
      </c>
      <c r="M139" s="2"/>
      <c r="N139" s="2"/>
      <c r="O139" s="72"/>
      <c r="P139" s="86">
        <v>-20.0</v>
      </c>
      <c r="Q139" s="2"/>
      <c r="R139" s="2"/>
      <c r="S139" s="86"/>
      <c r="T139" s="86">
        <v>-20.0</v>
      </c>
      <c r="U139" s="2"/>
      <c r="V139" s="2"/>
      <c r="W139" s="2"/>
      <c r="X139" s="2"/>
      <c r="Y139" s="2"/>
      <c r="Z139" s="2"/>
      <c r="AA139" s="2"/>
      <c r="AB139" s="2"/>
      <c r="AC139" s="2"/>
    </row>
    <row r="140">
      <c r="A140" s="113">
        <v>134.0</v>
      </c>
      <c r="B140" s="73" t="s">
        <v>407</v>
      </c>
      <c r="C140" s="73">
        <v>6.0</v>
      </c>
      <c r="D140" s="73" t="s">
        <v>12</v>
      </c>
      <c r="E140" s="73">
        <v>327.0</v>
      </c>
      <c r="F140" s="91" t="s">
        <v>452</v>
      </c>
      <c r="G140" s="72" t="s">
        <v>544</v>
      </c>
      <c r="H140" s="84"/>
      <c r="I140" s="2"/>
      <c r="J140" s="2"/>
      <c r="K140" s="86">
        <v>-20.0</v>
      </c>
      <c r="M140" s="2"/>
      <c r="N140" s="2"/>
      <c r="O140" s="72"/>
      <c r="P140" s="86">
        <v>-20.0</v>
      </c>
      <c r="Q140" s="2"/>
      <c r="R140" s="2"/>
      <c r="S140" s="86"/>
      <c r="T140" s="86">
        <v>-20.0</v>
      </c>
      <c r="U140" s="2"/>
      <c r="V140" s="2"/>
      <c r="W140" s="2"/>
      <c r="X140" s="2"/>
      <c r="Y140" s="2"/>
      <c r="Z140" s="2"/>
      <c r="AA140" s="2"/>
      <c r="AB140" s="2"/>
      <c r="AC140" s="2"/>
    </row>
    <row r="141">
      <c r="A141" s="113">
        <v>135.0</v>
      </c>
      <c r="B141" s="73" t="s">
        <v>407</v>
      </c>
      <c r="C141" s="73">
        <v>6.0</v>
      </c>
      <c r="D141" s="73" t="s">
        <v>12</v>
      </c>
      <c r="E141" s="73">
        <v>327.0</v>
      </c>
      <c r="F141" s="72" t="s">
        <v>453</v>
      </c>
      <c r="G141" s="72" t="s">
        <v>544</v>
      </c>
      <c r="H141" s="84"/>
      <c r="I141" s="2"/>
      <c r="J141" s="2"/>
      <c r="K141" s="86">
        <v>-42.0</v>
      </c>
      <c r="M141" s="2"/>
      <c r="N141" s="2"/>
      <c r="O141" s="72"/>
      <c r="P141" s="86">
        <v>-42.0</v>
      </c>
      <c r="Q141" s="2"/>
      <c r="R141" s="2"/>
      <c r="S141" s="86"/>
      <c r="T141" s="86">
        <v>-42.0</v>
      </c>
      <c r="U141" s="2"/>
      <c r="V141" s="2"/>
      <c r="W141" s="2"/>
      <c r="X141" s="2"/>
      <c r="Y141" s="2"/>
      <c r="Z141" s="2"/>
      <c r="AA141" s="2"/>
      <c r="AB141" s="2"/>
      <c r="AC141" s="2"/>
    </row>
    <row r="142">
      <c r="A142" s="113">
        <v>139.0</v>
      </c>
      <c r="B142" s="73" t="s">
        <v>407</v>
      </c>
      <c r="C142" s="73">
        <v>6.0</v>
      </c>
      <c r="D142" s="73" t="s">
        <v>12</v>
      </c>
      <c r="E142" s="73">
        <v>327.0</v>
      </c>
      <c r="F142" s="72" t="s">
        <v>545</v>
      </c>
      <c r="G142" s="72" t="s">
        <v>544</v>
      </c>
      <c r="H142" s="84"/>
      <c r="I142" s="86"/>
      <c r="J142" s="86"/>
      <c r="K142" s="86">
        <v>-68.0</v>
      </c>
      <c r="M142" s="86"/>
      <c r="N142" s="86"/>
      <c r="O142" s="86"/>
      <c r="P142" s="86">
        <v>-68.0</v>
      </c>
      <c r="Q142" s="86"/>
      <c r="R142" s="86"/>
      <c r="S142" s="86"/>
      <c r="T142" s="86">
        <v>-68.0</v>
      </c>
      <c r="U142" s="86"/>
      <c r="V142" s="86"/>
      <c r="W142" s="86"/>
      <c r="X142" s="2"/>
      <c r="Y142" s="2"/>
      <c r="Z142" s="2"/>
      <c r="AA142" s="2"/>
      <c r="AB142" s="2"/>
      <c r="AC142" s="2"/>
    </row>
    <row r="143">
      <c r="A143" s="113">
        <v>136.0</v>
      </c>
      <c r="B143" s="73" t="s">
        <v>407</v>
      </c>
      <c r="C143" s="73">
        <v>6.0</v>
      </c>
      <c r="D143" s="73" t="s">
        <v>12</v>
      </c>
      <c r="E143" s="73">
        <v>327.0</v>
      </c>
      <c r="F143" s="72" t="s">
        <v>454</v>
      </c>
      <c r="G143" s="72" t="s">
        <v>544</v>
      </c>
      <c r="H143" s="84"/>
      <c r="I143" s="2"/>
      <c r="J143" s="2"/>
      <c r="K143" s="86">
        <v>-34.0</v>
      </c>
      <c r="M143" s="2"/>
      <c r="N143" s="2"/>
      <c r="O143" s="72"/>
      <c r="P143" s="86">
        <v>-34.0</v>
      </c>
      <c r="Q143" s="2"/>
      <c r="R143" s="2"/>
      <c r="S143" s="86"/>
      <c r="T143" s="86">
        <v>-34.0</v>
      </c>
      <c r="U143" s="2"/>
      <c r="V143" s="2"/>
      <c r="W143" s="2"/>
      <c r="X143" s="2"/>
      <c r="Y143" s="2"/>
      <c r="Z143" s="2"/>
      <c r="AA143" s="2"/>
      <c r="AB143" s="2"/>
      <c r="AC143" s="2"/>
    </row>
    <row r="144">
      <c r="A144" s="113">
        <v>137.0</v>
      </c>
      <c r="B144" s="73" t="s">
        <v>407</v>
      </c>
      <c r="C144" s="73">
        <v>6.0</v>
      </c>
      <c r="D144" s="73" t="s">
        <v>12</v>
      </c>
      <c r="E144" s="73">
        <v>327.0</v>
      </c>
      <c r="F144" s="72" t="s">
        <v>455</v>
      </c>
      <c r="G144" s="72" t="s">
        <v>544</v>
      </c>
      <c r="H144" s="84"/>
      <c r="I144" s="2"/>
      <c r="J144" s="2"/>
      <c r="K144" s="86">
        <v>-30.0</v>
      </c>
      <c r="M144" s="2"/>
      <c r="N144" s="2"/>
      <c r="O144" s="72"/>
      <c r="P144" s="86">
        <v>-30.0</v>
      </c>
      <c r="Q144" s="2"/>
      <c r="R144" s="2"/>
      <c r="S144" s="86"/>
      <c r="T144" s="86">
        <v>-30.0</v>
      </c>
      <c r="U144" s="2"/>
      <c r="V144" s="2"/>
      <c r="W144" s="2"/>
      <c r="X144" s="2"/>
      <c r="Y144" s="2"/>
      <c r="Z144" s="2"/>
      <c r="AA144" s="2"/>
      <c r="AB144" s="2"/>
      <c r="AC144" s="2"/>
    </row>
    <row r="145">
      <c r="A145" s="113">
        <v>138.0</v>
      </c>
      <c r="B145" s="73" t="s">
        <v>407</v>
      </c>
      <c r="C145" s="73">
        <v>6.0</v>
      </c>
      <c r="D145" s="73" t="s">
        <v>12</v>
      </c>
      <c r="E145" s="73">
        <v>327.0</v>
      </c>
      <c r="F145" s="72" t="s">
        <v>456</v>
      </c>
      <c r="G145" s="72" t="s">
        <v>544</v>
      </c>
      <c r="H145" s="84"/>
      <c r="I145" s="72"/>
      <c r="J145" s="2"/>
      <c r="K145" s="86">
        <v>-30.0</v>
      </c>
      <c r="M145" s="2"/>
      <c r="N145" s="2"/>
      <c r="O145" s="72"/>
      <c r="P145" s="86">
        <v>-30.0</v>
      </c>
      <c r="Q145" s="2"/>
      <c r="R145" s="2"/>
      <c r="S145" s="86"/>
      <c r="T145" s="86">
        <v>-30.0</v>
      </c>
      <c r="U145" s="2"/>
      <c r="V145" s="2"/>
      <c r="W145" s="2"/>
      <c r="X145" s="2"/>
      <c r="Y145" s="2"/>
      <c r="Z145" s="2"/>
      <c r="AA145" s="2"/>
      <c r="AB145" s="2"/>
      <c r="AC145" s="2"/>
    </row>
    <row r="146">
      <c r="A146" s="113">
        <v>119.0</v>
      </c>
      <c r="B146" s="73" t="s">
        <v>407</v>
      </c>
      <c r="C146" s="73">
        <v>6.0</v>
      </c>
      <c r="D146" s="73" t="s">
        <v>12</v>
      </c>
      <c r="E146" s="73">
        <v>902.0</v>
      </c>
      <c r="F146" s="72" t="s">
        <v>149</v>
      </c>
      <c r="G146" s="72" t="s">
        <v>148</v>
      </c>
      <c r="H146" s="84"/>
      <c r="I146" s="86">
        <v>-476.54</v>
      </c>
      <c r="J146" s="86">
        <v>-475.8</v>
      </c>
      <c r="K146" s="86">
        <v>-474.61</v>
      </c>
      <c r="L146" s="86">
        <v>-473.81</v>
      </c>
      <c r="M146" s="86">
        <v>-472.81</v>
      </c>
      <c r="N146" s="86">
        <v>-471.53</v>
      </c>
      <c r="O146" s="86">
        <v>-475.0</v>
      </c>
      <c r="P146" s="86">
        <v>-475.0</v>
      </c>
      <c r="Q146" s="86"/>
      <c r="R146" s="86"/>
      <c r="S146" s="86"/>
      <c r="T146" s="86"/>
      <c r="U146" s="86"/>
      <c r="V146" s="86"/>
      <c r="W146" s="86"/>
      <c r="X146" s="2"/>
      <c r="Y146" s="2"/>
      <c r="Z146" s="2"/>
      <c r="AA146" s="2"/>
      <c r="AB146" s="2"/>
      <c r="AC146" s="2"/>
    </row>
    <row r="147">
      <c r="A147" s="113">
        <v>156.0</v>
      </c>
      <c r="B147" s="73" t="s">
        <v>407</v>
      </c>
      <c r="C147" s="73">
        <v>6.0</v>
      </c>
      <c r="D147" s="73" t="s">
        <v>12</v>
      </c>
      <c r="E147" s="73">
        <v>323.0</v>
      </c>
      <c r="F147" s="72" t="s">
        <v>151</v>
      </c>
      <c r="G147" s="72" t="s">
        <v>546</v>
      </c>
      <c r="H147" s="84"/>
      <c r="I147" s="86">
        <v>-29.99</v>
      </c>
      <c r="J147" s="86">
        <v>-29.99</v>
      </c>
      <c r="K147" s="86">
        <v>-29.99</v>
      </c>
      <c r="L147" s="86">
        <v>-29.99</v>
      </c>
      <c r="M147" s="86">
        <v>-29.99</v>
      </c>
      <c r="N147" s="86">
        <v>-29.99</v>
      </c>
      <c r="O147" s="86">
        <v>-29.99</v>
      </c>
      <c r="P147" s="86">
        <v>-29.99</v>
      </c>
      <c r="Q147" s="86">
        <v>-29.99</v>
      </c>
      <c r="R147" s="86">
        <v>-29.99</v>
      </c>
      <c r="S147" s="86">
        <v>-29.99</v>
      </c>
      <c r="T147" s="86">
        <v>-29.99</v>
      </c>
      <c r="U147" s="86">
        <v>-29.99</v>
      </c>
      <c r="V147" s="86">
        <v>-29.99</v>
      </c>
      <c r="W147" s="86">
        <v>-29.99</v>
      </c>
      <c r="X147" s="2"/>
      <c r="Y147" s="2"/>
      <c r="Z147" s="2"/>
      <c r="AA147" s="2"/>
      <c r="AB147" s="2"/>
      <c r="AC147" s="2"/>
    </row>
    <row r="148">
      <c r="A148" s="113">
        <v>120.0</v>
      </c>
      <c r="B148" s="73" t="s">
        <v>541</v>
      </c>
      <c r="C148" s="73">
        <v>7.0</v>
      </c>
      <c r="D148" s="73" t="s">
        <v>12</v>
      </c>
      <c r="E148" s="73">
        <v>421.0</v>
      </c>
      <c r="F148" s="134" t="s">
        <v>547</v>
      </c>
      <c r="G148" s="124" t="s">
        <v>547</v>
      </c>
      <c r="H148" s="86"/>
      <c r="I148" s="86"/>
      <c r="J148" s="86"/>
      <c r="K148" s="86"/>
      <c r="L148" s="86"/>
      <c r="M148" s="86"/>
      <c r="N148" s="86"/>
      <c r="O148" s="86"/>
      <c r="P148" s="86"/>
      <c r="Q148" s="86"/>
      <c r="R148" s="86"/>
      <c r="S148" s="86"/>
      <c r="T148" s="135">
        <v>-90.0</v>
      </c>
      <c r="U148" s="86"/>
      <c r="V148" s="86"/>
      <c r="W148" s="86"/>
      <c r="X148" s="2"/>
      <c r="Y148" s="2"/>
      <c r="Z148" s="2"/>
      <c r="AA148" s="2"/>
      <c r="AB148" s="2"/>
      <c r="AC148" s="2"/>
    </row>
    <row r="149">
      <c r="A149" s="113">
        <v>141.0</v>
      </c>
      <c r="B149" s="73" t="s">
        <v>541</v>
      </c>
      <c r="C149" s="73">
        <v>8.0</v>
      </c>
      <c r="D149" s="73" t="s">
        <v>12</v>
      </c>
      <c r="E149" s="73">
        <v>441.0</v>
      </c>
      <c r="F149" s="134" t="s">
        <v>548</v>
      </c>
      <c r="G149" s="124" t="s">
        <v>548</v>
      </c>
      <c r="H149" s="86"/>
      <c r="I149" s="86"/>
      <c r="J149" s="86"/>
      <c r="L149" s="86"/>
      <c r="M149" s="86"/>
      <c r="N149" s="86"/>
      <c r="O149" s="86"/>
      <c r="P149" s="135">
        <v>-360.0</v>
      </c>
      <c r="Q149" s="135"/>
      <c r="R149" s="135"/>
      <c r="S149" s="135"/>
      <c r="T149" s="135">
        <v>68.0</v>
      </c>
      <c r="U149" s="86"/>
      <c r="V149" s="86"/>
      <c r="W149" s="86"/>
      <c r="X149" s="2"/>
      <c r="Y149" s="2"/>
      <c r="Z149" s="2"/>
      <c r="AA149" s="2"/>
      <c r="AB149" s="2"/>
      <c r="AC149" s="2"/>
    </row>
    <row r="150">
      <c r="A150" s="113">
        <v>126.0</v>
      </c>
      <c r="B150" s="73" t="s">
        <v>541</v>
      </c>
      <c r="C150" s="73">
        <v>8.0</v>
      </c>
      <c r="D150" s="73" t="s">
        <v>12</v>
      </c>
      <c r="E150" s="73">
        <v>441.0</v>
      </c>
      <c r="F150" s="72" t="s">
        <v>448</v>
      </c>
      <c r="G150" s="72" t="s">
        <v>448</v>
      </c>
      <c r="H150" s="2"/>
      <c r="I150" s="2"/>
      <c r="K150" s="101"/>
      <c r="L150" s="2"/>
      <c r="M150" s="2"/>
      <c r="N150" s="2"/>
      <c r="O150" s="86">
        <v>-199.0</v>
      </c>
      <c r="P150" s="86"/>
      <c r="Q150" s="2"/>
      <c r="R150" s="2"/>
      <c r="S150" s="2"/>
      <c r="T150" s="2"/>
      <c r="U150" s="2"/>
      <c r="V150" s="2"/>
      <c r="W150" s="2"/>
      <c r="X150" s="2"/>
      <c r="Y150" s="2"/>
      <c r="Z150" s="2"/>
      <c r="AA150" s="2"/>
      <c r="AB150" s="2"/>
      <c r="AC150" s="2"/>
    </row>
    <row r="151">
      <c r="A151" s="113">
        <v>142.0</v>
      </c>
      <c r="B151" s="73" t="s">
        <v>541</v>
      </c>
      <c r="C151" s="73">
        <v>9.0</v>
      </c>
      <c r="D151" s="73" t="s">
        <v>12</v>
      </c>
      <c r="E151" s="73">
        <v>421.0</v>
      </c>
      <c r="F151" s="72" t="s">
        <v>152</v>
      </c>
      <c r="G151" s="72" t="s">
        <v>152</v>
      </c>
      <c r="H151" s="2"/>
      <c r="I151" s="86">
        <v>-32.27</v>
      </c>
      <c r="J151" s="86"/>
      <c r="K151" s="86"/>
      <c r="L151" s="86"/>
      <c r="M151" s="86"/>
      <c r="N151" s="86"/>
      <c r="O151" s="86"/>
      <c r="P151" s="86"/>
      <c r="Q151" s="86"/>
      <c r="R151" s="86"/>
      <c r="S151" s="86"/>
      <c r="T151" s="86"/>
      <c r="U151" s="86"/>
      <c r="V151" s="86"/>
      <c r="W151" s="86"/>
      <c r="X151" s="2"/>
      <c r="Y151" s="2"/>
      <c r="Z151" s="2"/>
      <c r="AA151" s="2"/>
      <c r="AB151" s="2"/>
      <c r="AC151" s="2"/>
    </row>
    <row r="152">
      <c r="A152" s="113">
        <v>125.0</v>
      </c>
      <c r="B152" s="73" t="s">
        <v>443</v>
      </c>
      <c r="C152" s="95" t="s">
        <v>178</v>
      </c>
      <c r="D152" s="73" t="s">
        <v>12</v>
      </c>
      <c r="E152" s="73">
        <v>340.0</v>
      </c>
      <c r="F152" s="136" t="s">
        <v>189</v>
      </c>
      <c r="G152" s="136" t="s">
        <v>188</v>
      </c>
      <c r="H152" s="84"/>
      <c r="I152" s="86">
        <f>-96-220.46-720-9.99-590-20.95</f>
        <v>-1657.4</v>
      </c>
      <c r="J152" s="86">
        <f>-219.31-288-260-9.99-85-217.46-19.82</f>
        <v>-1099.58</v>
      </c>
      <c r="K152" s="86">
        <f>-228-20-394.64-474-48-50.99</f>
        <v>-1215.63</v>
      </c>
      <c r="L152" s="86">
        <f>-95-301.2-1012.97-80-60</f>
        <v>-1549.17</v>
      </c>
      <c r="M152" s="86">
        <f>-283.2-219.57-20.95-237.56-425-570+20.95</f>
        <v>-1735.33</v>
      </c>
      <c r="N152" s="86">
        <v>-1000.0</v>
      </c>
      <c r="O152" s="86">
        <v>-1500.0</v>
      </c>
      <c r="P152" s="86">
        <v>-1500.0</v>
      </c>
      <c r="Q152" s="86">
        <v>-1500.0</v>
      </c>
      <c r="R152" s="86">
        <v>-1500.0</v>
      </c>
      <c r="S152" s="86">
        <v>-1500.0</v>
      </c>
      <c r="T152" s="86">
        <v>-1500.0</v>
      </c>
      <c r="U152" s="86">
        <v>-1500.0</v>
      </c>
      <c r="V152" s="86">
        <v>-1500.0</v>
      </c>
      <c r="W152" s="86">
        <v>-1500.0</v>
      </c>
      <c r="X152" s="2"/>
      <c r="Y152" s="2"/>
      <c r="Z152" s="2"/>
      <c r="AA152" s="2"/>
      <c r="AB152" s="2"/>
      <c r="AC152" s="2"/>
    </row>
    <row r="153">
      <c r="A153" s="113">
        <v>153.0</v>
      </c>
      <c r="B153" s="73" t="s">
        <v>407</v>
      </c>
      <c r="C153" s="73">
        <v>19.0</v>
      </c>
      <c r="D153" s="73" t="s">
        <v>12</v>
      </c>
      <c r="E153" s="73">
        <v>421.0</v>
      </c>
      <c r="F153" s="134" t="s">
        <v>549</v>
      </c>
      <c r="G153" s="124" t="s">
        <v>550</v>
      </c>
      <c r="H153" s="84"/>
      <c r="I153" s="86"/>
      <c r="J153" s="86"/>
      <c r="K153" s="86"/>
      <c r="L153" s="86"/>
      <c r="M153" s="86">
        <f>-44.71-1.32-44.73-1.32-44.68-1.32-44.69-1.32</f>
        <v>-184.09</v>
      </c>
      <c r="N153" s="86"/>
      <c r="O153" s="86"/>
      <c r="P153" s="86"/>
      <c r="Q153" s="86"/>
      <c r="R153" s="86"/>
      <c r="S153" s="135">
        <v>0.0</v>
      </c>
      <c r="T153" s="86"/>
      <c r="U153" s="86"/>
      <c r="V153" s="86"/>
      <c r="W153" s="86"/>
      <c r="X153" s="2"/>
      <c r="Y153" s="2"/>
      <c r="Z153" s="2"/>
      <c r="AA153" s="2"/>
      <c r="AB153" s="2"/>
      <c r="AC153" s="2"/>
    </row>
    <row r="154">
      <c r="A154" s="113">
        <v>127.0</v>
      </c>
      <c r="B154" s="73" t="s">
        <v>407</v>
      </c>
      <c r="C154" s="73">
        <v>10.0</v>
      </c>
      <c r="D154" s="73" t="s">
        <v>12</v>
      </c>
      <c r="E154" s="73">
        <v>310.0</v>
      </c>
      <c r="F154" s="91" t="s">
        <v>154</v>
      </c>
      <c r="G154" s="91" t="s">
        <v>153</v>
      </c>
      <c r="H154" s="84"/>
      <c r="I154" s="86">
        <v>-656.12</v>
      </c>
      <c r="J154" s="86">
        <v>-656.12</v>
      </c>
      <c r="K154" s="86">
        <v>-656.12</v>
      </c>
      <c r="L154" s="86">
        <v>-656.12</v>
      </c>
      <c r="M154" s="86">
        <v>-656.12</v>
      </c>
      <c r="N154" s="86">
        <v>-656.12</v>
      </c>
      <c r="O154" s="86">
        <v>-656.12</v>
      </c>
      <c r="P154" s="86">
        <v>-656.12</v>
      </c>
      <c r="Q154" s="86">
        <v>-656.12</v>
      </c>
      <c r="R154" s="86">
        <v>-656.12</v>
      </c>
      <c r="S154" s="86">
        <v>-656.12</v>
      </c>
      <c r="T154" s="86">
        <v>-656.12</v>
      </c>
      <c r="U154" s="86">
        <v>-656.12</v>
      </c>
      <c r="V154" s="86">
        <v>-656.12</v>
      </c>
      <c r="W154" s="86">
        <v>-656.12</v>
      </c>
      <c r="X154" s="2"/>
      <c r="Y154" s="2"/>
      <c r="Z154" s="2"/>
      <c r="AA154" s="2"/>
      <c r="AB154" s="2"/>
      <c r="AC154" s="2"/>
    </row>
    <row r="155">
      <c r="A155" s="113">
        <v>144.0</v>
      </c>
      <c r="B155" s="73" t="s">
        <v>541</v>
      </c>
      <c r="C155" s="73">
        <v>14.0</v>
      </c>
      <c r="D155" s="73" t="s">
        <v>12</v>
      </c>
      <c r="E155" s="73">
        <v>421.0</v>
      </c>
      <c r="F155" s="72" t="s">
        <v>458</v>
      </c>
      <c r="G155" s="72" t="s">
        <v>458</v>
      </c>
      <c r="H155" s="86"/>
      <c r="I155" s="86"/>
      <c r="J155" s="86"/>
      <c r="K155" s="86"/>
      <c r="L155" s="86"/>
      <c r="M155" s="86"/>
      <c r="N155" s="86"/>
      <c r="O155" s="86"/>
      <c r="P155" s="86"/>
      <c r="Q155" s="86"/>
      <c r="R155" s="86">
        <v>-250.0</v>
      </c>
      <c r="S155" s="86"/>
      <c r="T155" s="86"/>
      <c r="U155" s="86"/>
      <c r="V155" s="86"/>
      <c r="W155" s="86"/>
      <c r="X155" s="2"/>
      <c r="Y155" s="2"/>
      <c r="Z155" s="2"/>
      <c r="AA155" s="2"/>
      <c r="AB155" s="2"/>
      <c r="AC155" s="2"/>
    </row>
    <row r="156">
      <c r="A156" s="113">
        <v>145.0</v>
      </c>
      <c r="B156" s="73" t="s">
        <v>407</v>
      </c>
      <c r="C156" s="73">
        <v>15.0</v>
      </c>
      <c r="D156" s="73" t="s">
        <v>12</v>
      </c>
      <c r="E156" s="73">
        <v>324.0</v>
      </c>
      <c r="F156" s="72" t="s">
        <v>155</v>
      </c>
      <c r="G156" s="72" t="s">
        <v>41</v>
      </c>
      <c r="H156" s="84"/>
      <c r="I156" s="86">
        <v>-5.99</v>
      </c>
      <c r="J156" s="86">
        <v>-5.99</v>
      </c>
      <c r="K156" s="86">
        <v>-5.99</v>
      </c>
      <c r="L156" s="86">
        <v>-5.99</v>
      </c>
      <c r="M156" s="86">
        <v>-5.99</v>
      </c>
      <c r="N156" s="86">
        <v>-5.99</v>
      </c>
      <c r="O156" s="86">
        <v>-5.99</v>
      </c>
      <c r="P156" s="86">
        <v>-5.99</v>
      </c>
      <c r="Q156" s="86">
        <v>-5.99</v>
      </c>
      <c r="R156" s="86">
        <v>-5.99</v>
      </c>
      <c r="S156" s="86">
        <v>-5.99</v>
      </c>
      <c r="T156" s="86">
        <v>-5.99</v>
      </c>
      <c r="U156" s="86">
        <v>-5.99</v>
      </c>
      <c r="V156" s="86">
        <v>-5.99</v>
      </c>
      <c r="W156" s="86">
        <v>-5.99</v>
      </c>
      <c r="X156" s="2"/>
      <c r="Y156" s="2"/>
      <c r="Z156" s="2"/>
      <c r="AA156" s="2"/>
      <c r="AB156" s="2"/>
      <c r="AC156" s="2"/>
    </row>
    <row r="157">
      <c r="A157" s="113">
        <v>146.0</v>
      </c>
      <c r="B157" s="73" t="s">
        <v>407</v>
      </c>
      <c r="C157" s="73">
        <v>16.0</v>
      </c>
      <c r="D157" s="73" t="s">
        <v>12</v>
      </c>
      <c r="E157" s="73">
        <v>421.0</v>
      </c>
      <c r="F157" s="72" t="s">
        <v>551</v>
      </c>
      <c r="G157" s="72" t="s">
        <v>157</v>
      </c>
      <c r="H157" s="84"/>
      <c r="I157" s="86">
        <f>-36.24-1.07</f>
        <v>-37.31</v>
      </c>
      <c r="J157" s="86">
        <f>-2.94-1.62-54.94</f>
        <v>-59.5</v>
      </c>
      <c r="K157" s="86">
        <f>-53.98-1.59</f>
        <v>-55.57</v>
      </c>
      <c r="L157" s="86">
        <f>-35.78-1.06</f>
        <v>-36.84</v>
      </c>
      <c r="M157" s="86">
        <f>-35.33-1.04</f>
        <v>-36.37</v>
      </c>
      <c r="N157" s="86">
        <f t="shared" ref="N157:W157" si="17">-2.94-1.62-54.94</f>
        <v>-59.5</v>
      </c>
      <c r="O157" s="86">
        <f t="shared" si="17"/>
        <v>-59.5</v>
      </c>
      <c r="P157" s="86">
        <f t="shared" si="17"/>
        <v>-59.5</v>
      </c>
      <c r="Q157" s="86">
        <f t="shared" si="17"/>
        <v>-59.5</v>
      </c>
      <c r="R157" s="86">
        <f t="shared" si="17"/>
        <v>-59.5</v>
      </c>
      <c r="S157" s="86">
        <f t="shared" si="17"/>
        <v>-59.5</v>
      </c>
      <c r="T157" s="86">
        <f t="shared" si="17"/>
        <v>-59.5</v>
      </c>
      <c r="U157" s="86">
        <f t="shared" si="17"/>
        <v>-59.5</v>
      </c>
      <c r="V157" s="86">
        <f t="shared" si="17"/>
        <v>-59.5</v>
      </c>
      <c r="W157" s="86">
        <f t="shared" si="17"/>
        <v>-59.5</v>
      </c>
      <c r="X157" s="2"/>
      <c r="Y157" s="2"/>
      <c r="Z157" s="2"/>
      <c r="AA157" s="2"/>
      <c r="AB157" s="2"/>
      <c r="AC157" s="2"/>
    </row>
    <row r="158">
      <c r="A158" s="113">
        <v>148.0</v>
      </c>
      <c r="B158" s="73" t="s">
        <v>407</v>
      </c>
      <c r="C158" s="73">
        <v>17.0</v>
      </c>
      <c r="D158" s="73" t="s">
        <v>12</v>
      </c>
      <c r="E158" s="73">
        <v>421.0</v>
      </c>
      <c r="F158" s="72" t="s">
        <v>552</v>
      </c>
      <c r="G158" s="72" t="s">
        <v>158</v>
      </c>
      <c r="H158" s="84"/>
      <c r="I158" s="86">
        <f>-21.8-0.64</f>
        <v>-22.44</v>
      </c>
      <c r="J158" s="86">
        <f>-22.13-0.65</f>
        <v>-22.78</v>
      </c>
      <c r="K158" s="86">
        <f>-21.72-0.64</f>
        <v>-22.36</v>
      </c>
      <c r="L158" s="86">
        <f>-21.71-0.64</f>
        <v>-22.35</v>
      </c>
      <c r="M158" s="86">
        <f>-21.34-0.63</f>
        <v>-21.97</v>
      </c>
      <c r="N158" s="86">
        <f t="shared" ref="N158:W158" si="18">-21.8-0.64</f>
        <v>-22.44</v>
      </c>
      <c r="O158" s="86">
        <f t="shared" si="18"/>
        <v>-22.44</v>
      </c>
      <c r="P158" s="86">
        <f t="shared" si="18"/>
        <v>-22.44</v>
      </c>
      <c r="Q158" s="86">
        <f t="shared" si="18"/>
        <v>-22.44</v>
      </c>
      <c r="R158" s="86">
        <f t="shared" si="18"/>
        <v>-22.44</v>
      </c>
      <c r="S158" s="86">
        <f t="shared" si="18"/>
        <v>-22.44</v>
      </c>
      <c r="T158" s="86">
        <f t="shared" si="18"/>
        <v>-22.44</v>
      </c>
      <c r="U158" s="86">
        <f t="shared" si="18"/>
        <v>-22.44</v>
      </c>
      <c r="V158" s="86">
        <f t="shared" si="18"/>
        <v>-22.44</v>
      </c>
      <c r="W158" s="86">
        <f t="shared" si="18"/>
        <v>-22.44</v>
      </c>
      <c r="X158" s="2"/>
      <c r="Y158" s="2"/>
      <c r="Z158" s="2"/>
      <c r="AA158" s="2"/>
      <c r="AB158" s="2"/>
      <c r="AC158" s="2"/>
    </row>
    <row r="159">
      <c r="A159" s="113">
        <v>147.0</v>
      </c>
      <c r="B159" s="73" t="s">
        <v>407</v>
      </c>
      <c r="C159" s="73">
        <v>18.0</v>
      </c>
      <c r="D159" s="73" t="s">
        <v>12</v>
      </c>
      <c r="E159" s="137">
        <v>442.0</v>
      </c>
      <c r="F159" s="94" t="s">
        <v>160</v>
      </c>
      <c r="G159" s="94" t="s">
        <v>148</v>
      </c>
      <c r="H159" s="84"/>
      <c r="I159" s="86">
        <v>-12.5</v>
      </c>
      <c r="J159" s="86">
        <v>-12.5</v>
      </c>
      <c r="K159" s="86">
        <v>-9.99</v>
      </c>
      <c r="L159" s="86">
        <v>-9.99</v>
      </c>
      <c r="M159" s="86">
        <v>-9.99</v>
      </c>
      <c r="N159" s="86">
        <v>-9.99</v>
      </c>
      <c r="O159" s="86">
        <v>-9.99</v>
      </c>
      <c r="P159" s="86">
        <v>-9.99</v>
      </c>
      <c r="Q159" s="86">
        <v>-9.99</v>
      </c>
      <c r="R159" s="86">
        <v>-9.99</v>
      </c>
      <c r="S159" s="86">
        <v>-9.99</v>
      </c>
      <c r="T159" s="86">
        <v>-9.99</v>
      </c>
      <c r="U159" s="86">
        <v>-9.99</v>
      </c>
      <c r="V159" s="86">
        <v>-9.99</v>
      </c>
      <c r="W159" s="86">
        <v>-9.99</v>
      </c>
      <c r="X159" s="2"/>
      <c r="Y159" s="2"/>
      <c r="Z159" s="2"/>
      <c r="AA159" s="2"/>
      <c r="AB159" s="2"/>
      <c r="AC159" s="2"/>
    </row>
    <row r="160">
      <c r="A160" s="113">
        <v>149.0</v>
      </c>
      <c r="B160" s="73" t="s">
        <v>407</v>
      </c>
      <c r="C160" s="73">
        <v>17.0</v>
      </c>
      <c r="D160" s="73" t="s">
        <v>12</v>
      </c>
      <c r="E160" s="73">
        <v>421.0</v>
      </c>
      <c r="F160" s="72" t="s">
        <v>159</v>
      </c>
      <c r="G160" s="72" t="s">
        <v>159</v>
      </c>
      <c r="H160" s="84"/>
      <c r="I160" s="86">
        <v>-96.9</v>
      </c>
      <c r="J160" s="86">
        <v>-96.9</v>
      </c>
      <c r="K160" s="86">
        <v>-96.9</v>
      </c>
      <c r="L160" s="86">
        <v>-96.9</v>
      </c>
      <c r="M160" s="86">
        <v>-96.9</v>
      </c>
      <c r="N160" s="86">
        <v>-96.9</v>
      </c>
      <c r="O160" s="86">
        <v>-96.9</v>
      </c>
      <c r="P160" s="86">
        <v>-96.9</v>
      </c>
      <c r="Q160" s="86">
        <v>-96.9</v>
      </c>
      <c r="R160" s="86">
        <v>-96.9</v>
      </c>
      <c r="S160" s="86">
        <v>-96.9</v>
      </c>
      <c r="T160" s="86">
        <v>-96.9</v>
      </c>
      <c r="U160" s="86">
        <v>-96.9</v>
      </c>
      <c r="V160" s="86">
        <v>-96.9</v>
      </c>
      <c r="W160" s="86">
        <v>-96.9</v>
      </c>
      <c r="X160" s="2"/>
      <c r="Y160" s="2"/>
      <c r="Z160" s="2"/>
      <c r="AA160" s="2"/>
      <c r="AB160" s="2"/>
      <c r="AC160" s="2"/>
    </row>
    <row r="161">
      <c r="A161" s="113">
        <v>150.0</v>
      </c>
      <c r="B161" s="73" t="s">
        <v>407</v>
      </c>
      <c r="C161" s="73">
        <v>19.0</v>
      </c>
      <c r="D161" s="73" t="s">
        <v>12</v>
      </c>
      <c r="E161" s="73">
        <v>362.0</v>
      </c>
      <c r="F161" s="72" t="s">
        <v>459</v>
      </c>
      <c r="G161" s="72" t="s">
        <v>459</v>
      </c>
      <c r="H161" s="84"/>
      <c r="I161" s="2"/>
      <c r="J161" s="2"/>
      <c r="K161" s="72"/>
      <c r="L161" s="2"/>
      <c r="M161" s="138">
        <v>-172.8</v>
      </c>
      <c r="N161" s="2"/>
      <c r="O161" s="2"/>
      <c r="P161" s="2"/>
      <c r="Q161" s="2"/>
      <c r="R161" s="2"/>
      <c r="S161" s="2"/>
      <c r="T161" s="86"/>
      <c r="U161" s="86"/>
      <c r="V161" s="86"/>
      <c r="W161" s="86"/>
      <c r="X161" s="2"/>
      <c r="Y161" s="2"/>
      <c r="Z161" s="2"/>
      <c r="AA161" s="2"/>
      <c r="AB161" s="2"/>
      <c r="AC161" s="2"/>
    </row>
    <row r="162">
      <c r="A162" s="113">
        <v>151.0</v>
      </c>
      <c r="B162" s="73" t="s">
        <v>407</v>
      </c>
      <c r="C162" s="73">
        <v>19.0</v>
      </c>
      <c r="D162" s="73" t="s">
        <v>12</v>
      </c>
      <c r="E162" s="73">
        <v>323.0</v>
      </c>
      <c r="F162" s="72" t="s">
        <v>161</v>
      </c>
      <c r="G162" s="72" t="s">
        <v>546</v>
      </c>
      <c r="H162" s="84"/>
      <c r="I162" s="138">
        <v>-32.23</v>
      </c>
      <c r="J162" s="138">
        <v>-32.23</v>
      </c>
      <c r="K162" s="138">
        <v>-48.38</v>
      </c>
      <c r="L162" s="138">
        <v>-43.0</v>
      </c>
      <c r="M162" s="138">
        <v>-43.0</v>
      </c>
      <c r="N162" s="138">
        <v>-43.0</v>
      </c>
      <c r="O162" s="138">
        <v>-43.0</v>
      </c>
      <c r="P162" s="138">
        <v>-43.0</v>
      </c>
      <c r="Q162" s="138">
        <v>-43.0</v>
      </c>
      <c r="R162" s="138">
        <v>-43.0</v>
      </c>
      <c r="S162" s="138">
        <v>-43.0</v>
      </c>
      <c r="T162" s="138">
        <v>-43.0</v>
      </c>
      <c r="U162" s="138">
        <v>-43.0</v>
      </c>
      <c r="V162" s="138">
        <v>-43.0</v>
      </c>
      <c r="W162" s="138">
        <v>-43.0</v>
      </c>
      <c r="X162" s="2"/>
      <c r="Y162" s="2"/>
      <c r="Z162" s="2"/>
      <c r="AA162" s="2"/>
      <c r="AB162" s="2"/>
      <c r="AC162" s="2"/>
    </row>
    <row r="163">
      <c r="A163" s="113">
        <v>152.0</v>
      </c>
      <c r="B163" s="73" t="s">
        <v>407</v>
      </c>
      <c r="C163" s="73">
        <v>19.0</v>
      </c>
      <c r="D163" s="73" t="s">
        <v>12</v>
      </c>
      <c r="E163" s="73">
        <v>323.0</v>
      </c>
      <c r="F163" s="72" t="s">
        <v>162</v>
      </c>
      <c r="G163" s="72" t="s">
        <v>546</v>
      </c>
      <c r="H163" s="84"/>
      <c r="I163" s="86">
        <v>-38.68</v>
      </c>
      <c r="J163" s="86">
        <v>-38.68</v>
      </c>
      <c r="K163" s="86">
        <v>-38.68</v>
      </c>
      <c r="L163" s="86">
        <v>-38.68</v>
      </c>
      <c r="M163" s="86">
        <v>-38.68</v>
      </c>
      <c r="N163" s="86">
        <v>-38.68</v>
      </c>
      <c r="O163" s="86">
        <v>-38.68</v>
      </c>
      <c r="P163" s="86">
        <v>-38.68</v>
      </c>
      <c r="Q163" s="86">
        <v>-38.68</v>
      </c>
      <c r="R163" s="86">
        <v>-38.68</v>
      </c>
      <c r="S163" s="86">
        <v>-38.68</v>
      </c>
      <c r="T163" s="86">
        <v>-38.68</v>
      </c>
      <c r="U163" s="86">
        <v>-38.68</v>
      </c>
      <c r="V163" s="86">
        <v>-38.68</v>
      </c>
      <c r="W163" s="86">
        <v>-38.68</v>
      </c>
      <c r="X163" s="2"/>
      <c r="Y163" s="2"/>
      <c r="Z163" s="2"/>
      <c r="AA163" s="2"/>
      <c r="AB163" s="2"/>
      <c r="AC163" s="2"/>
    </row>
    <row r="164">
      <c r="A164" s="113">
        <v>155.0</v>
      </c>
      <c r="B164" s="73" t="s">
        <v>407</v>
      </c>
      <c r="C164" s="73">
        <v>20.0</v>
      </c>
      <c r="D164" s="73" t="s">
        <v>12</v>
      </c>
      <c r="E164" s="73">
        <v>324.0</v>
      </c>
      <c r="F164" s="72" t="s">
        <v>163</v>
      </c>
      <c r="G164" s="72" t="s">
        <v>41</v>
      </c>
      <c r="H164" s="84"/>
      <c r="I164" s="86">
        <v>-5.99</v>
      </c>
      <c r="J164" s="86">
        <v>-5.99</v>
      </c>
      <c r="K164" s="86">
        <v>-5.99</v>
      </c>
      <c r="L164" s="86">
        <v>-5.99</v>
      </c>
      <c r="M164" s="86">
        <v>-5.99</v>
      </c>
      <c r="N164" s="86">
        <v>-5.99</v>
      </c>
      <c r="O164" s="86">
        <v>-5.99</v>
      </c>
      <c r="P164" s="86">
        <v>-5.99</v>
      </c>
      <c r="Q164" s="86">
        <v>-5.99</v>
      </c>
      <c r="R164" s="86">
        <v>-5.99</v>
      </c>
      <c r="S164" s="86">
        <v>-5.99</v>
      </c>
      <c r="T164" s="86">
        <v>-5.99</v>
      </c>
      <c r="U164" s="86">
        <v>-5.99</v>
      </c>
      <c r="V164" s="86">
        <v>-5.99</v>
      </c>
      <c r="W164" s="86">
        <v>-5.99</v>
      </c>
      <c r="X164" s="2"/>
      <c r="Y164" s="2"/>
      <c r="Z164" s="2"/>
      <c r="AA164" s="2"/>
      <c r="AB164" s="2"/>
      <c r="AC164" s="2"/>
    </row>
    <row r="165">
      <c r="A165" s="113">
        <v>154.0</v>
      </c>
      <c r="B165" s="73" t="s">
        <v>407</v>
      </c>
      <c r="C165" s="73">
        <v>19.0</v>
      </c>
      <c r="D165" s="73" t="s">
        <v>12</v>
      </c>
      <c r="E165" s="73">
        <v>431.0</v>
      </c>
      <c r="F165" s="72" t="s">
        <v>553</v>
      </c>
      <c r="G165" s="72" t="s">
        <v>553</v>
      </c>
      <c r="H165" s="102"/>
      <c r="I165" s="86"/>
      <c r="J165" s="86"/>
      <c r="K165" s="86"/>
      <c r="L165" s="86"/>
      <c r="M165" s="86"/>
      <c r="N165" s="86"/>
      <c r="O165" s="86"/>
      <c r="P165" s="86"/>
      <c r="Q165" s="86">
        <v>-47.0</v>
      </c>
      <c r="R165" s="86"/>
      <c r="S165" s="86"/>
      <c r="T165" s="86"/>
      <c r="U165" s="86"/>
      <c r="V165" s="86"/>
      <c r="W165" s="86"/>
      <c r="X165" s="2"/>
      <c r="Y165" s="2"/>
      <c r="Z165" s="2"/>
      <c r="AA165" s="2"/>
      <c r="AB165" s="2"/>
      <c r="AC165" s="2"/>
    </row>
    <row r="166">
      <c r="A166" s="113">
        <v>156.0</v>
      </c>
      <c r="B166" s="73" t="s">
        <v>407</v>
      </c>
      <c r="C166" s="73">
        <v>21.0</v>
      </c>
      <c r="D166" s="73" t="s">
        <v>12</v>
      </c>
      <c r="E166" s="73">
        <v>323.0</v>
      </c>
      <c r="F166" s="72" t="s">
        <v>165</v>
      </c>
      <c r="G166" s="72" t="s">
        <v>164</v>
      </c>
      <c r="H166" s="84"/>
      <c r="I166" s="86">
        <v>-27.0</v>
      </c>
      <c r="J166" s="86">
        <v>-27.0</v>
      </c>
      <c r="K166" s="86">
        <v>-27.0</v>
      </c>
      <c r="L166" s="86">
        <v>-27.0</v>
      </c>
      <c r="M166" s="86">
        <v>-27.0</v>
      </c>
      <c r="N166" s="86">
        <v>-27.0</v>
      </c>
      <c r="O166" s="86">
        <v>-27.0</v>
      </c>
      <c r="P166" s="86">
        <v>-27.0</v>
      </c>
      <c r="Q166" s="86">
        <v>-27.0</v>
      </c>
      <c r="R166" s="86">
        <v>-27.0</v>
      </c>
      <c r="S166" s="86">
        <v>-27.0</v>
      </c>
      <c r="T166" s="86">
        <v>-27.0</v>
      </c>
      <c r="U166" s="86">
        <v>-27.0</v>
      </c>
      <c r="V166" s="86">
        <v>-27.0</v>
      </c>
      <c r="W166" s="86">
        <v>-27.0</v>
      </c>
      <c r="X166" s="2"/>
      <c r="Y166" s="2"/>
      <c r="Z166" s="2"/>
      <c r="AA166" s="2"/>
      <c r="AB166" s="2"/>
      <c r="AC166" s="2"/>
    </row>
    <row r="167">
      <c r="A167" s="113">
        <v>129.0</v>
      </c>
      <c r="B167" s="73" t="s">
        <v>407</v>
      </c>
      <c r="C167" s="73">
        <v>27.0</v>
      </c>
      <c r="D167" s="73" t="s">
        <v>12</v>
      </c>
      <c r="E167" s="137">
        <v>421.0</v>
      </c>
      <c r="F167" s="94" t="s">
        <v>175</v>
      </c>
      <c r="G167" s="94" t="s">
        <v>140</v>
      </c>
      <c r="H167" s="84"/>
      <c r="I167" s="86">
        <v>-61.5</v>
      </c>
      <c r="J167" s="86">
        <v>-61.5</v>
      </c>
      <c r="K167" s="86">
        <v>-61.5</v>
      </c>
      <c r="L167" s="86">
        <v>-61.5</v>
      </c>
      <c r="M167" s="86">
        <v>-66.42</v>
      </c>
      <c r="N167" s="86">
        <v>-66.42</v>
      </c>
      <c r="O167" s="86">
        <v>-66.42</v>
      </c>
      <c r="P167" s="86">
        <v>-66.42</v>
      </c>
      <c r="Q167" s="86">
        <v>-66.42</v>
      </c>
      <c r="R167" s="86">
        <v>-66.42</v>
      </c>
      <c r="S167" s="86">
        <v>-66.42</v>
      </c>
      <c r="T167" s="86">
        <v>-66.42</v>
      </c>
      <c r="U167" s="86">
        <v>-66.42</v>
      </c>
      <c r="V167" s="86">
        <v>-66.42</v>
      </c>
      <c r="W167" s="86">
        <v>-66.42</v>
      </c>
      <c r="X167" s="2"/>
      <c r="Y167" s="2"/>
      <c r="Z167" s="2"/>
      <c r="AA167" s="2"/>
      <c r="AB167" s="2"/>
      <c r="AC167" s="2"/>
    </row>
    <row r="168">
      <c r="A168" s="113">
        <v>150.0</v>
      </c>
      <c r="B168" s="73" t="s">
        <v>407</v>
      </c>
      <c r="C168" s="73">
        <v>27.0</v>
      </c>
      <c r="D168" s="73" t="s">
        <v>12</v>
      </c>
      <c r="E168" s="73">
        <v>363.0</v>
      </c>
      <c r="F168" s="136" t="s">
        <v>169</v>
      </c>
      <c r="G168" s="72" t="s">
        <v>169</v>
      </c>
      <c r="H168" s="84"/>
      <c r="I168" s="109">
        <v>-115.0</v>
      </c>
      <c r="J168" s="109">
        <v>-115.0</v>
      </c>
      <c r="K168" s="109">
        <v>-115.0</v>
      </c>
      <c r="L168" s="109">
        <v>-115.0</v>
      </c>
      <c r="M168" s="109">
        <v>-115.0</v>
      </c>
      <c r="N168" s="109">
        <v>-115.0</v>
      </c>
      <c r="O168" s="109">
        <v>-115.0</v>
      </c>
      <c r="P168" s="109">
        <v>-115.0</v>
      </c>
      <c r="Q168" s="109">
        <v>-115.0</v>
      </c>
      <c r="R168" s="109">
        <v>-115.0</v>
      </c>
      <c r="S168" s="109">
        <v>-115.0</v>
      </c>
      <c r="T168" s="109">
        <v>-115.0</v>
      </c>
      <c r="U168" s="109">
        <v>-115.0</v>
      </c>
      <c r="V168" s="109">
        <v>-115.0</v>
      </c>
      <c r="W168" s="109">
        <v>-115.0</v>
      </c>
      <c r="X168" s="2"/>
      <c r="Y168" s="2"/>
      <c r="Z168" s="2"/>
      <c r="AA168" s="2"/>
      <c r="AB168" s="2"/>
      <c r="AC168" s="2"/>
    </row>
    <row r="169">
      <c r="A169" s="113">
        <v>156.0</v>
      </c>
      <c r="B169" s="73" t="s">
        <v>407</v>
      </c>
      <c r="C169" s="73">
        <v>23.0</v>
      </c>
      <c r="D169" s="73" t="s">
        <v>12</v>
      </c>
      <c r="E169" s="73">
        <v>421.0</v>
      </c>
      <c r="F169" s="124" t="s">
        <v>167</v>
      </c>
      <c r="G169" s="124" t="s">
        <v>167</v>
      </c>
      <c r="I169" s="86">
        <v>-16.8</v>
      </c>
      <c r="J169" s="86">
        <v>-16.8</v>
      </c>
      <c r="K169" s="86"/>
      <c r="L169" s="86"/>
      <c r="M169" s="86"/>
      <c r="N169" s="86"/>
      <c r="O169" s="86"/>
      <c r="P169" s="86"/>
      <c r="Q169" s="86"/>
      <c r="R169" s="2"/>
      <c r="S169" s="2"/>
      <c r="T169" s="2"/>
      <c r="U169" s="2"/>
      <c r="V169" s="2"/>
      <c r="W169" s="2"/>
      <c r="X169" s="2"/>
      <c r="Y169" s="2"/>
      <c r="Z169" s="2"/>
      <c r="AA169" s="2"/>
      <c r="AB169" s="2"/>
      <c r="AC169" s="2"/>
    </row>
    <row r="170">
      <c r="A170" s="113">
        <v>167.0</v>
      </c>
      <c r="B170" s="73" t="s">
        <v>407</v>
      </c>
      <c r="C170" s="73">
        <v>23.0</v>
      </c>
      <c r="D170" s="73" t="s">
        <v>12</v>
      </c>
      <c r="E170" s="73">
        <v>441.0</v>
      </c>
      <c r="F170" s="72" t="s">
        <v>168</v>
      </c>
      <c r="G170" s="72" t="s">
        <v>168</v>
      </c>
      <c r="I170" s="86">
        <v>-295.0</v>
      </c>
      <c r="K170" s="86"/>
      <c r="L170" s="86"/>
      <c r="M170" s="86"/>
      <c r="N170" s="86"/>
      <c r="O170" s="86"/>
      <c r="P170" s="86"/>
      <c r="Q170" s="86"/>
      <c r="R170" s="2"/>
      <c r="S170" s="2"/>
      <c r="T170" s="2"/>
      <c r="U170" s="86">
        <v>-295.0</v>
      </c>
      <c r="V170" s="2"/>
      <c r="W170" s="2"/>
      <c r="X170" s="2"/>
      <c r="Y170" s="2"/>
      <c r="Z170" s="2"/>
      <c r="AA170" s="2"/>
      <c r="AB170" s="2"/>
      <c r="AC170" s="2"/>
    </row>
    <row r="171">
      <c r="A171" s="113">
        <v>170.0</v>
      </c>
      <c r="B171" s="73" t="s">
        <v>407</v>
      </c>
      <c r="C171" s="73">
        <v>28.0</v>
      </c>
      <c r="D171" s="73" t="s">
        <v>12</v>
      </c>
      <c r="E171" s="125">
        <v>310.0</v>
      </c>
      <c r="F171" s="91" t="s">
        <v>171</v>
      </c>
      <c r="G171" s="91" t="s">
        <v>170</v>
      </c>
      <c r="H171" s="139"/>
      <c r="I171" s="86">
        <v>-1902.59</v>
      </c>
      <c r="J171" s="86">
        <v>-1902.59</v>
      </c>
      <c r="K171" s="86">
        <v>-1902.59</v>
      </c>
      <c r="L171" s="86">
        <v>-1902.59</v>
      </c>
      <c r="M171" s="86">
        <v>-1902.59</v>
      </c>
      <c r="N171" s="86">
        <v>-1902.59</v>
      </c>
      <c r="O171" s="86">
        <v>-1902.59</v>
      </c>
      <c r="P171" s="86">
        <v>-1902.59</v>
      </c>
      <c r="Q171" s="86">
        <v>-1902.59</v>
      </c>
      <c r="R171" s="86">
        <v>-1902.59</v>
      </c>
      <c r="S171" s="86">
        <v>-1902.59</v>
      </c>
      <c r="T171" s="86">
        <v>-1902.59</v>
      </c>
      <c r="U171" s="86">
        <v>-1902.59</v>
      </c>
      <c r="V171" s="86">
        <v>-1902.59</v>
      </c>
      <c r="W171" s="86">
        <v>-1902.59</v>
      </c>
      <c r="X171" s="2"/>
      <c r="Y171" s="2"/>
      <c r="Z171" s="2"/>
      <c r="AA171" s="2"/>
      <c r="AB171" s="2"/>
      <c r="AC171" s="2"/>
    </row>
    <row r="172">
      <c r="A172" s="113">
        <v>176.0</v>
      </c>
      <c r="B172" s="73" t="s">
        <v>407</v>
      </c>
      <c r="C172" s="73">
        <v>28.0</v>
      </c>
      <c r="D172" s="73" t="s">
        <v>12</v>
      </c>
      <c r="E172" s="73">
        <v>401.0</v>
      </c>
      <c r="F172" s="72" t="s">
        <v>554</v>
      </c>
      <c r="G172" s="72" t="s">
        <v>554</v>
      </c>
      <c r="H172" s="139"/>
      <c r="I172" s="86">
        <v>0.0</v>
      </c>
      <c r="J172" s="86">
        <f>-471.47-533.32</f>
        <v>-1004.79</v>
      </c>
      <c r="K172" s="86">
        <v>-484.79</v>
      </c>
      <c r="L172" s="86">
        <v>-523.62</v>
      </c>
      <c r="M172" s="86">
        <v>-556.22</v>
      </c>
      <c r="N172" s="86">
        <f>-23*4*8</f>
        <v>-736</v>
      </c>
      <c r="O172" s="86">
        <f>-22*4*8</f>
        <v>-704</v>
      </c>
      <c r="P172" s="86">
        <f>-23*4*8</f>
        <v>-736</v>
      </c>
      <c r="Q172" s="86">
        <f>-22*4*8</f>
        <v>-704</v>
      </c>
      <c r="R172" s="86">
        <f t="shared" ref="R172:S172" si="19">-23*4*8</f>
        <v>-736</v>
      </c>
      <c r="S172" s="86">
        <f t="shared" si="19"/>
        <v>-736</v>
      </c>
      <c r="T172" s="86">
        <f>-22*4*8</f>
        <v>-704</v>
      </c>
      <c r="U172" s="86">
        <f>-23*4*8</f>
        <v>-736</v>
      </c>
      <c r="V172" s="86">
        <f>-22*4*8</f>
        <v>-704</v>
      </c>
      <c r="W172" s="86">
        <f>-23*4*8</f>
        <v>-736</v>
      </c>
      <c r="X172" s="2"/>
      <c r="Y172" s="2"/>
      <c r="Z172" s="2"/>
      <c r="AA172" s="2"/>
      <c r="AB172" s="2"/>
      <c r="AC172" s="2"/>
    </row>
    <row r="173">
      <c r="A173" s="113">
        <v>169.0</v>
      </c>
      <c r="B173" s="73" t="s">
        <v>407</v>
      </c>
      <c r="C173" s="73">
        <v>28.0</v>
      </c>
      <c r="D173" s="73" t="s">
        <v>12</v>
      </c>
      <c r="E173" s="125">
        <v>310.0</v>
      </c>
      <c r="F173" s="91" t="s">
        <v>172</v>
      </c>
      <c r="G173" s="91" t="s">
        <v>153</v>
      </c>
      <c r="H173" s="139"/>
      <c r="I173" s="86">
        <v>-826.93</v>
      </c>
      <c r="J173" s="86">
        <v>-826.93</v>
      </c>
      <c r="K173" s="86">
        <v>-826.93</v>
      </c>
      <c r="L173" s="86">
        <v>-826.93</v>
      </c>
      <c r="M173" s="86">
        <v>-826.93</v>
      </c>
      <c r="N173" s="86">
        <v>-826.93</v>
      </c>
      <c r="O173" s="86">
        <v>-826.93</v>
      </c>
      <c r="P173" s="86">
        <v>-826.93</v>
      </c>
      <c r="Q173" s="86">
        <v>-826.93</v>
      </c>
      <c r="R173" s="86">
        <v>-826.93</v>
      </c>
      <c r="S173" s="86">
        <v>-826.93</v>
      </c>
      <c r="T173" s="86">
        <v>-826.93</v>
      </c>
      <c r="U173" s="86">
        <v>-826.93</v>
      </c>
      <c r="V173" s="86">
        <v>-826.93</v>
      </c>
      <c r="W173" s="86">
        <v>-826.93</v>
      </c>
      <c r="X173" s="2"/>
      <c r="Y173" s="2"/>
      <c r="Z173" s="2"/>
      <c r="AA173" s="2"/>
      <c r="AB173" s="2"/>
      <c r="AC173" s="2"/>
    </row>
    <row r="174">
      <c r="A174" s="113">
        <v>178.0</v>
      </c>
      <c r="B174" s="73" t="s">
        <v>407</v>
      </c>
      <c r="C174" s="73">
        <v>28.0</v>
      </c>
      <c r="D174" s="73" t="s">
        <v>12</v>
      </c>
      <c r="E174" s="125">
        <v>310.0</v>
      </c>
      <c r="F174" s="91" t="s">
        <v>173</v>
      </c>
      <c r="G174" s="91" t="s">
        <v>153</v>
      </c>
      <c r="H174" s="139"/>
      <c r="I174" s="86">
        <v>-2475.36</v>
      </c>
      <c r="J174" s="86">
        <v>-2475.36</v>
      </c>
      <c r="K174" s="86">
        <v>-2475.36</v>
      </c>
      <c r="L174" s="86">
        <v>-2475.36</v>
      </c>
      <c r="M174" s="86">
        <v>-2475.36</v>
      </c>
      <c r="N174" s="86">
        <v>-2475.36</v>
      </c>
      <c r="O174" s="86">
        <v>-2475.36</v>
      </c>
      <c r="P174" s="86">
        <v>-2475.36</v>
      </c>
      <c r="Q174" s="86">
        <v>-2475.36</v>
      </c>
      <c r="R174" s="86">
        <v>-2475.36</v>
      </c>
      <c r="S174" s="86">
        <v>-2475.36</v>
      </c>
      <c r="T174" s="86">
        <v>-2475.36</v>
      </c>
      <c r="U174" s="86">
        <v>-2475.36</v>
      </c>
      <c r="V174" s="86">
        <v>-2475.36</v>
      </c>
      <c r="W174" s="86">
        <v>-2475.36</v>
      </c>
      <c r="X174" s="2"/>
      <c r="Y174" s="2"/>
      <c r="Z174" s="2"/>
      <c r="AA174" s="2"/>
      <c r="AB174" s="2"/>
      <c r="AC174" s="2"/>
    </row>
    <row r="175">
      <c r="A175" s="113">
        <v>131.0</v>
      </c>
      <c r="B175" s="73" t="s">
        <v>407</v>
      </c>
      <c r="C175" s="73">
        <v>31.0</v>
      </c>
      <c r="D175" s="73" t="s">
        <v>12</v>
      </c>
      <c r="E175" s="73">
        <v>310.0</v>
      </c>
      <c r="F175" s="72" t="s">
        <v>177</v>
      </c>
      <c r="G175" s="72" t="s">
        <v>170</v>
      </c>
      <c r="H175" s="139"/>
      <c r="I175" s="86">
        <v>-1027.36</v>
      </c>
      <c r="J175" s="121">
        <v>-1027.36</v>
      </c>
      <c r="K175" s="86">
        <v>-1027.36</v>
      </c>
      <c r="L175" s="86">
        <v>-1027.36</v>
      </c>
      <c r="M175" s="86">
        <v>-1027.36</v>
      </c>
      <c r="N175" s="86">
        <v>-1027.36</v>
      </c>
      <c r="O175" s="86">
        <v>-1027.36</v>
      </c>
      <c r="P175" s="86">
        <v>-1027.36</v>
      </c>
      <c r="Q175" s="86">
        <v>-1027.36</v>
      </c>
      <c r="R175" s="86">
        <v>-1027.36</v>
      </c>
      <c r="S175" s="86">
        <v>-1027.36</v>
      </c>
      <c r="T175" s="86">
        <v>-1027.36</v>
      </c>
      <c r="U175" s="86">
        <v>-1027.36</v>
      </c>
      <c r="V175" s="86">
        <v>-1027.36</v>
      </c>
      <c r="W175" s="86">
        <v>-1027.36</v>
      </c>
      <c r="X175" s="2"/>
      <c r="Y175" s="2"/>
      <c r="Z175" s="2"/>
      <c r="AA175" s="2"/>
      <c r="AB175" s="2"/>
      <c r="AC175" s="2"/>
    </row>
    <row r="176">
      <c r="A176" s="113">
        <v>177.0</v>
      </c>
      <c r="B176" s="73" t="s">
        <v>407</v>
      </c>
      <c r="C176" s="73">
        <v>31.0</v>
      </c>
      <c r="D176" s="73" t="s">
        <v>12</v>
      </c>
      <c r="E176" s="73">
        <v>401.0</v>
      </c>
      <c r="F176" s="72" t="s">
        <v>555</v>
      </c>
      <c r="G176" s="72" t="s">
        <v>555</v>
      </c>
      <c r="H176" s="84"/>
      <c r="I176" s="86"/>
      <c r="J176" s="86">
        <v>-485.62</v>
      </c>
      <c r="K176" s="86">
        <v>-485.92</v>
      </c>
      <c r="L176" s="86"/>
      <c r="M176" s="86">
        <v>0.0</v>
      </c>
      <c r="N176" s="86">
        <v>0.0</v>
      </c>
      <c r="O176" s="86">
        <f>-22*4*8</f>
        <v>-704</v>
      </c>
      <c r="P176" s="86">
        <f>-23*4*8</f>
        <v>-736</v>
      </c>
      <c r="Q176" s="86">
        <f>-22*4*8</f>
        <v>-704</v>
      </c>
      <c r="R176" s="86">
        <f t="shared" ref="R176:S176" si="20">-23*4*8</f>
        <v>-736</v>
      </c>
      <c r="S176" s="86">
        <f t="shared" si="20"/>
        <v>-736</v>
      </c>
      <c r="T176" s="86">
        <f>-22*4*8</f>
        <v>-704</v>
      </c>
      <c r="U176" s="86">
        <f>-23*4*8</f>
        <v>-736</v>
      </c>
      <c r="V176" s="86">
        <f>-22*4*8</f>
        <v>-704</v>
      </c>
      <c r="W176" s="86">
        <f>-23*4*8</f>
        <v>-736</v>
      </c>
      <c r="X176" s="2"/>
      <c r="Y176" s="2"/>
      <c r="Z176" s="2"/>
      <c r="AA176" s="2"/>
      <c r="AB176" s="2"/>
      <c r="AC176" s="2"/>
    </row>
    <row r="177">
      <c r="A177" s="113">
        <v>130.0</v>
      </c>
      <c r="B177" s="73" t="s">
        <v>407</v>
      </c>
      <c r="C177" s="73">
        <v>28.0</v>
      </c>
      <c r="D177" s="73" t="s">
        <v>12</v>
      </c>
      <c r="E177" s="73">
        <v>210.0</v>
      </c>
      <c r="F177" s="72" t="s">
        <v>174</v>
      </c>
      <c r="G177" s="72" t="s">
        <v>148</v>
      </c>
      <c r="I177" s="86">
        <v>300.0</v>
      </c>
      <c r="J177" s="86">
        <v>0.0</v>
      </c>
      <c r="K177" s="86"/>
      <c r="L177" s="86"/>
      <c r="M177" s="86"/>
      <c r="N177" s="86"/>
      <c r="O177" s="86"/>
      <c r="P177" s="86"/>
      <c r="Q177" s="86"/>
      <c r="R177" s="86"/>
      <c r="S177" s="86"/>
      <c r="T177" s="86"/>
      <c r="U177" s="86">
        <v>300.0</v>
      </c>
      <c r="V177" s="86"/>
      <c r="W177" s="86"/>
      <c r="X177" s="2"/>
      <c r="Y177" s="2"/>
      <c r="Z177" s="2"/>
      <c r="AA177" s="2"/>
      <c r="AB177" s="2"/>
      <c r="AC177" s="2"/>
    </row>
    <row r="178">
      <c r="A178" s="113">
        <v>95.0</v>
      </c>
      <c r="B178" s="73" t="s">
        <v>407</v>
      </c>
      <c r="C178" s="95" t="s">
        <v>178</v>
      </c>
      <c r="D178" s="73" t="s">
        <v>12</v>
      </c>
      <c r="E178" s="73">
        <v>334.0</v>
      </c>
      <c r="F178" s="72" t="s">
        <v>196</v>
      </c>
      <c r="G178" s="72" t="s">
        <v>195</v>
      </c>
      <c r="I178" s="86">
        <v>-534.0</v>
      </c>
      <c r="J178" s="86"/>
      <c r="K178" s="86"/>
      <c r="L178" s="86"/>
      <c r="M178" s="86"/>
      <c r="N178" s="86"/>
      <c r="O178" s="86">
        <v>-500.0</v>
      </c>
      <c r="P178" s="86">
        <v>-500.0</v>
      </c>
      <c r="Q178" s="86">
        <v>-500.0</v>
      </c>
      <c r="R178" s="86">
        <v>-500.0</v>
      </c>
      <c r="S178" s="86">
        <v>-500.0</v>
      </c>
      <c r="T178" s="86">
        <v>-500.0</v>
      </c>
      <c r="U178" s="86">
        <v>-500.0</v>
      </c>
      <c r="V178" s="86"/>
      <c r="W178" s="86"/>
      <c r="X178" s="2"/>
      <c r="Y178" s="2"/>
      <c r="Z178" s="2"/>
      <c r="AA178" s="2"/>
      <c r="AB178" s="2"/>
      <c r="AC178" s="2"/>
    </row>
    <row r="179">
      <c r="A179" s="113">
        <v>172.0</v>
      </c>
      <c r="B179" s="73" t="s">
        <v>407</v>
      </c>
      <c r="C179" s="73">
        <v>27.0</v>
      </c>
      <c r="D179" s="73" t="s">
        <v>12</v>
      </c>
      <c r="E179" s="73">
        <v>441.0</v>
      </c>
      <c r="F179" s="72" t="s">
        <v>471</v>
      </c>
      <c r="G179" s="72" t="s">
        <v>471</v>
      </c>
      <c r="I179" s="2"/>
      <c r="J179" s="86">
        <v>-198.0</v>
      </c>
      <c r="K179" s="86"/>
      <c r="L179" s="86"/>
      <c r="M179" s="86"/>
      <c r="N179" s="86"/>
      <c r="O179" s="86"/>
      <c r="P179" s="86"/>
      <c r="Q179" s="86"/>
      <c r="R179" s="86"/>
      <c r="S179" s="2"/>
      <c r="T179" s="2"/>
      <c r="U179" s="2"/>
      <c r="V179" s="86">
        <v>-198.0</v>
      </c>
      <c r="W179" s="2"/>
      <c r="X179" s="2"/>
      <c r="Y179" s="2"/>
      <c r="Z179" s="2"/>
      <c r="AA179" s="2"/>
      <c r="AB179" s="2"/>
      <c r="AC179" s="2"/>
    </row>
    <row r="180">
      <c r="A180" s="113">
        <v>176.0</v>
      </c>
      <c r="B180" s="73" t="s">
        <v>407</v>
      </c>
      <c r="C180" s="73">
        <v>31.0</v>
      </c>
      <c r="D180" s="73" t="s">
        <v>12</v>
      </c>
      <c r="E180" s="73">
        <v>401.0</v>
      </c>
      <c r="F180" s="72" t="s">
        <v>556</v>
      </c>
      <c r="G180" s="72" t="s">
        <v>556</v>
      </c>
      <c r="H180" s="84"/>
      <c r="I180" s="86"/>
      <c r="J180" s="86"/>
      <c r="K180" s="86"/>
      <c r="L180" s="86">
        <v>-540.11</v>
      </c>
      <c r="M180" s="86"/>
      <c r="N180" s="86"/>
      <c r="O180" s="86"/>
      <c r="P180" s="86"/>
      <c r="Q180" s="86"/>
      <c r="R180" s="86"/>
      <c r="S180" s="86"/>
      <c r="T180" s="86"/>
      <c r="U180" s="86"/>
      <c r="V180" s="86"/>
      <c r="W180" s="86">
        <f>-23*4*8</f>
        <v>-736</v>
      </c>
      <c r="X180" s="2"/>
      <c r="Y180" s="2"/>
      <c r="Z180" s="2"/>
      <c r="AA180" s="2"/>
      <c r="AB180" s="2"/>
      <c r="AC180" s="2"/>
    </row>
    <row r="181">
      <c r="A181" s="113">
        <v>131.0</v>
      </c>
      <c r="B181" s="73" t="s">
        <v>407</v>
      </c>
      <c r="C181" s="73">
        <v>31.0</v>
      </c>
      <c r="D181" s="73" t="s">
        <v>12</v>
      </c>
      <c r="E181" s="73">
        <v>220.0</v>
      </c>
      <c r="F181" s="72" t="s">
        <v>176</v>
      </c>
      <c r="G181" s="72" t="s">
        <v>148</v>
      </c>
      <c r="I181" s="86">
        <v>1.72</v>
      </c>
      <c r="J181" s="86">
        <v>0.0</v>
      </c>
      <c r="K181" s="86">
        <v>0.0</v>
      </c>
      <c r="L181" s="86">
        <v>0.0</v>
      </c>
      <c r="M181" s="86"/>
      <c r="N181" s="86">
        <v>0.5</v>
      </c>
      <c r="O181" s="86">
        <v>0.5</v>
      </c>
      <c r="P181" s="86">
        <v>0.5</v>
      </c>
      <c r="Q181" s="86">
        <v>0.5</v>
      </c>
      <c r="R181" s="86">
        <v>0.5</v>
      </c>
      <c r="S181" s="86">
        <v>0.5</v>
      </c>
      <c r="T181" s="86">
        <v>0.5</v>
      </c>
      <c r="U181" s="86">
        <v>0.5</v>
      </c>
      <c r="V181" s="86">
        <v>0.5</v>
      </c>
      <c r="W181" s="86">
        <v>0.5</v>
      </c>
      <c r="X181" s="2"/>
      <c r="Y181" s="2"/>
      <c r="Z181" s="2"/>
      <c r="AA181" s="2"/>
      <c r="AB181" s="2"/>
      <c r="AC181" s="2"/>
    </row>
    <row r="182">
      <c r="A182" s="113">
        <v>188.0</v>
      </c>
      <c r="B182" s="73" t="s">
        <v>443</v>
      </c>
      <c r="C182" s="95" t="s">
        <v>178</v>
      </c>
      <c r="D182" s="73" t="s">
        <v>12</v>
      </c>
      <c r="E182" s="73">
        <v>332.0</v>
      </c>
      <c r="F182" s="72" t="s">
        <v>489</v>
      </c>
      <c r="G182" s="72" t="s">
        <v>557</v>
      </c>
      <c r="I182" s="2"/>
      <c r="J182" s="105"/>
      <c r="K182" s="111"/>
      <c r="L182" s="86"/>
      <c r="M182" s="1"/>
      <c r="N182" s="1"/>
      <c r="O182" s="1"/>
      <c r="P182" s="1"/>
      <c r="Q182" s="1"/>
      <c r="R182" s="109">
        <v>-150.0</v>
      </c>
      <c r="S182" s="1"/>
      <c r="T182" s="1"/>
      <c r="U182" s="2"/>
      <c r="V182" s="2"/>
      <c r="W182" s="2"/>
      <c r="X182" s="2"/>
      <c r="Y182" s="2"/>
      <c r="Z182" s="2"/>
      <c r="AA182" s="2"/>
      <c r="AB182" s="2"/>
      <c r="AC182" s="2"/>
    </row>
    <row r="183">
      <c r="A183" s="113">
        <v>187.0</v>
      </c>
      <c r="B183" s="73" t="s">
        <v>443</v>
      </c>
      <c r="C183" s="95" t="s">
        <v>178</v>
      </c>
      <c r="D183" s="73" t="s">
        <v>12</v>
      </c>
      <c r="E183" s="73">
        <v>332.0</v>
      </c>
      <c r="F183" s="72" t="s">
        <v>558</v>
      </c>
      <c r="G183" s="72" t="s">
        <v>557</v>
      </c>
      <c r="H183" s="84"/>
      <c r="I183" s="2"/>
      <c r="J183" s="107"/>
      <c r="K183" s="109">
        <v>-80.0</v>
      </c>
      <c r="L183" s="1"/>
      <c r="M183" s="109"/>
      <c r="N183" s="1"/>
      <c r="O183" s="1"/>
      <c r="P183" s="109">
        <v>-80.0</v>
      </c>
      <c r="Q183" s="1"/>
      <c r="R183" s="109">
        <v>-80.0</v>
      </c>
      <c r="S183" s="109">
        <v>-80.0</v>
      </c>
      <c r="T183" s="109">
        <v>-160.0</v>
      </c>
      <c r="U183" s="2"/>
      <c r="V183" s="2"/>
      <c r="W183" s="2"/>
      <c r="X183" s="2"/>
      <c r="Y183" s="2"/>
      <c r="Z183" s="2"/>
      <c r="AA183" s="2"/>
      <c r="AB183" s="2"/>
      <c r="AC183" s="2"/>
    </row>
    <row r="184">
      <c r="A184" s="113">
        <v>186.0</v>
      </c>
      <c r="B184" s="73" t="s">
        <v>443</v>
      </c>
      <c r="C184" s="95" t="s">
        <v>178</v>
      </c>
      <c r="D184" s="73" t="s">
        <v>12</v>
      </c>
      <c r="E184" s="73">
        <v>332.0</v>
      </c>
      <c r="F184" s="72" t="s">
        <v>486</v>
      </c>
      <c r="G184" s="72" t="s">
        <v>557</v>
      </c>
      <c r="H184" s="140"/>
      <c r="I184" s="2"/>
      <c r="J184" s="107"/>
      <c r="N184" s="109">
        <v>-70.0</v>
      </c>
      <c r="O184" s="109">
        <v>-70.0</v>
      </c>
      <c r="P184" s="1"/>
      <c r="Q184" s="1"/>
      <c r="R184" s="1"/>
      <c r="S184" s="1"/>
      <c r="T184" s="1"/>
      <c r="U184" s="2"/>
      <c r="V184" s="2"/>
      <c r="W184" s="2"/>
      <c r="X184" s="2"/>
      <c r="Y184" s="2"/>
      <c r="Z184" s="2"/>
      <c r="AA184" s="2"/>
      <c r="AB184" s="2"/>
      <c r="AC184" s="2"/>
    </row>
    <row r="185">
      <c r="A185" s="113">
        <v>124.0</v>
      </c>
      <c r="B185" s="73" t="s">
        <v>443</v>
      </c>
      <c r="C185" s="95" t="s">
        <v>178</v>
      </c>
      <c r="D185" s="73" t="s">
        <v>12</v>
      </c>
      <c r="E185" s="73">
        <v>332.0</v>
      </c>
      <c r="F185" s="72" t="s">
        <v>559</v>
      </c>
      <c r="G185" s="72" t="s">
        <v>560</v>
      </c>
      <c r="H185" s="84"/>
      <c r="I185" s="86"/>
      <c r="J185" s="86"/>
      <c r="K185" s="86"/>
      <c r="L185" s="86">
        <f>-3*80</f>
        <v>-240</v>
      </c>
      <c r="M185" s="86"/>
      <c r="N185" s="86">
        <f>-5*80</f>
        <v>-400</v>
      </c>
      <c r="O185" s="86"/>
      <c r="P185" s="86"/>
      <c r="Q185" s="86">
        <f>-2*80</f>
        <v>-160</v>
      </c>
      <c r="R185" s="86">
        <v>-80.0</v>
      </c>
      <c r="S185" s="86"/>
      <c r="T185" s="86">
        <v>-80.0</v>
      </c>
      <c r="U185" s="86"/>
      <c r="V185" s="86"/>
      <c r="W185" s="86"/>
      <c r="X185" s="2"/>
      <c r="Y185" s="2"/>
      <c r="Z185" s="2"/>
      <c r="AA185" s="2"/>
      <c r="AB185" s="2"/>
      <c r="AC185" s="2"/>
    </row>
    <row r="186">
      <c r="A186" s="113">
        <v>181.0</v>
      </c>
      <c r="B186" s="73" t="s">
        <v>443</v>
      </c>
      <c r="C186" s="103" t="s">
        <v>178</v>
      </c>
      <c r="D186" s="73" t="s">
        <v>12</v>
      </c>
      <c r="E186" s="141">
        <v>336.0</v>
      </c>
      <c r="F186" s="93" t="s">
        <v>481</v>
      </c>
      <c r="G186" s="93" t="s">
        <v>561</v>
      </c>
      <c r="H186" s="140"/>
      <c r="J186" s="86"/>
      <c r="K186" s="86"/>
      <c r="L186" s="86"/>
      <c r="M186" s="86"/>
      <c r="N186" s="86">
        <v>-500.0</v>
      </c>
      <c r="P186" s="86"/>
      <c r="Q186" s="86"/>
      <c r="R186" s="86"/>
      <c r="S186" s="86"/>
      <c r="T186" s="86">
        <v>-500.0</v>
      </c>
      <c r="U186" s="86"/>
      <c r="V186" s="86"/>
      <c r="W186" s="86"/>
      <c r="X186" s="2"/>
      <c r="Y186" s="2"/>
      <c r="Z186" s="2"/>
      <c r="AA186" s="2"/>
      <c r="AB186" s="2"/>
      <c r="AC186" s="2"/>
    </row>
    <row r="187">
      <c r="A187" s="113">
        <v>185.0</v>
      </c>
      <c r="B187" s="73" t="s">
        <v>446</v>
      </c>
      <c r="C187" s="95" t="s">
        <v>178</v>
      </c>
      <c r="D187" s="73" t="s">
        <v>12</v>
      </c>
      <c r="E187" s="73">
        <v>363.0</v>
      </c>
      <c r="F187" s="72" t="s">
        <v>485</v>
      </c>
      <c r="G187" s="72" t="s">
        <v>485</v>
      </c>
      <c r="H187" s="140"/>
      <c r="I187" s="2"/>
      <c r="J187" s="86">
        <f>-90.09-10.88-0.32-16.32-0.48</f>
        <v>-118.09</v>
      </c>
      <c r="K187" s="108"/>
      <c r="L187" s="1"/>
      <c r="M187" s="1"/>
      <c r="N187" s="1"/>
      <c r="O187" s="1"/>
      <c r="P187" s="109"/>
      <c r="Q187" s="1"/>
      <c r="R187" s="1"/>
      <c r="S187" s="1"/>
      <c r="T187" s="1"/>
      <c r="U187" s="2"/>
      <c r="V187" s="2"/>
      <c r="W187" s="2"/>
      <c r="X187" s="2"/>
      <c r="Y187" s="2"/>
      <c r="Z187" s="2"/>
      <c r="AA187" s="2"/>
      <c r="AB187" s="2"/>
      <c r="AC187" s="2"/>
    </row>
    <row r="188">
      <c r="A188" s="113">
        <v>190.0</v>
      </c>
      <c r="B188" s="142" t="s">
        <v>178</v>
      </c>
      <c r="C188" s="142" t="s">
        <v>178</v>
      </c>
      <c r="D188" s="73" t="s">
        <v>192</v>
      </c>
      <c r="E188" s="142" t="s">
        <v>178</v>
      </c>
      <c r="F188" s="67" t="s">
        <v>205</v>
      </c>
      <c r="G188" s="140"/>
      <c r="H188" s="140"/>
      <c r="I188" s="69">
        <f t="shared" ref="I188:W188" si="21">SUM(I2:I187)</f>
        <v>3989.72</v>
      </c>
      <c r="J188" s="69">
        <f t="shared" si="21"/>
        <v>2225.45</v>
      </c>
      <c r="K188" s="69">
        <f t="shared" si="21"/>
        <v>1793.772</v>
      </c>
      <c r="L188" s="69">
        <f t="shared" si="21"/>
        <v>1572.994</v>
      </c>
      <c r="M188" s="69">
        <f t="shared" si="21"/>
        <v>375.996</v>
      </c>
      <c r="N188" s="69">
        <f t="shared" si="21"/>
        <v>-5749.382</v>
      </c>
      <c r="O188" s="69">
        <f t="shared" si="21"/>
        <v>5125.6195</v>
      </c>
      <c r="P188" s="69">
        <f t="shared" si="21"/>
        <v>10566.621</v>
      </c>
      <c r="Q188" s="69">
        <f t="shared" si="21"/>
        <v>16787.8825</v>
      </c>
      <c r="R188" s="69">
        <f t="shared" si="21"/>
        <v>22877.884</v>
      </c>
      <c r="S188" s="69">
        <f t="shared" si="21"/>
        <v>29447.8855</v>
      </c>
      <c r="T188" s="69">
        <f t="shared" si="21"/>
        <v>35015.147</v>
      </c>
      <c r="U188" s="69">
        <f t="shared" si="21"/>
        <v>41670.1485</v>
      </c>
      <c r="V188" s="69">
        <f t="shared" si="21"/>
        <v>48686.15</v>
      </c>
      <c r="W188" s="69">
        <f t="shared" si="21"/>
        <v>53817.3915</v>
      </c>
      <c r="X188" s="70"/>
      <c r="Y188" s="70"/>
      <c r="Z188" s="70"/>
      <c r="AA188" s="70"/>
      <c r="AB188" s="70"/>
      <c r="AC188" s="70"/>
    </row>
    <row r="189">
      <c r="A189" s="97"/>
      <c r="B189" s="66"/>
      <c r="C189" s="66"/>
      <c r="D189" s="66"/>
      <c r="E189" s="66"/>
      <c r="F189" s="65"/>
      <c r="G189" s="140"/>
      <c r="H189" s="140"/>
      <c r="I189" s="140"/>
      <c r="J189" s="140"/>
      <c r="K189" s="140"/>
      <c r="L189" s="140"/>
      <c r="M189" s="140"/>
      <c r="N189" s="140"/>
      <c r="O189" s="140"/>
      <c r="P189" s="140"/>
      <c r="Q189" s="140"/>
      <c r="R189" s="140"/>
      <c r="S189" s="140"/>
      <c r="T189" s="140"/>
      <c r="U189" s="140"/>
      <c r="V189" s="140"/>
      <c r="W189" s="140"/>
      <c r="X189" s="70"/>
      <c r="Y189" s="70"/>
      <c r="Z189" s="70"/>
      <c r="AA189" s="70"/>
      <c r="AB189" s="70"/>
      <c r="AC189" s="70"/>
    </row>
    <row r="190">
      <c r="A190" s="97"/>
      <c r="B190" s="66"/>
      <c r="C190" s="66"/>
      <c r="D190" s="66"/>
      <c r="E190" s="66"/>
      <c r="F190" s="65"/>
      <c r="G190" s="140"/>
      <c r="H190" s="140"/>
      <c r="I190" s="140"/>
      <c r="J190" s="140"/>
      <c r="K190" s="140"/>
      <c r="L190" s="140"/>
      <c r="M190" s="140"/>
      <c r="N190" s="140"/>
      <c r="O190" s="140"/>
      <c r="P190" s="140"/>
      <c r="Q190" s="140"/>
      <c r="R190" s="140"/>
      <c r="S190" s="140"/>
      <c r="T190" s="140"/>
      <c r="U190" s="140"/>
      <c r="V190" s="140"/>
      <c r="W190" s="140"/>
      <c r="X190" s="70"/>
      <c r="Y190" s="70"/>
      <c r="Z190" s="70"/>
      <c r="AA190" s="70"/>
      <c r="AB190" s="70"/>
      <c r="AC190" s="70"/>
    </row>
    <row r="191">
      <c r="A191" s="97"/>
      <c r="B191" s="66"/>
      <c r="C191" s="66"/>
      <c r="D191" s="66"/>
      <c r="E191" s="66"/>
      <c r="F191" s="65"/>
      <c r="G191" s="140"/>
      <c r="H191" s="140"/>
      <c r="I191" s="140"/>
      <c r="J191" s="140"/>
      <c r="K191" s="140"/>
      <c r="L191" s="140"/>
      <c r="M191" s="140"/>
      <c r="N191" s="140"/>
      <c r="O191" s="140"/>
      <c r="P191" s="140"/>
      <c r="Q191" s="140"/>
      <c r="R191" s="140"/>
      <c r="S191" s="140"/>
      <c r="T191" s="140"/>
      <c r="U191" s="140"/>
      <c r="V191" s="140"/>
      <c r="W191" s="140"/>
      <c r="X191" s="70"/>
      <c r="Y191" s="70"/>
      <c r="Z191" s="70"/>
      <c r="AA191" s="70"/>
      <c r="AB191" s="70"/>
      <c r="AC191" s="70"/>
    </row>
    <row r="192">
      <c r="A192" s="97"/>
      <c r="B192" s="66"/>
      <c r="C192" s="66"/>
      <c r="D192" s="66"/>
      <c r="E192" s="66"/>
      <c r="F192" s="143" t="s">
        <v>562</v>
      </c>
      <c r="G192" s="140"/>
      <c r="H192" s="140"/>
      <c r="I192" s="140"/>
      <c r="J192" s="2"/>
      <c r="L192" s="140"/>
      <c r="N192" s="144">
        <f>SUM(N2:N122)</f>
        <v>5193.356</v>
      </c>
      <c r="O192" s="140"/>
      <c r="P192" s="140"/>
      <c r="Q192" s="140"/>
      <c r="R192" s="140"/>
      <c r="S192" s="140"/>
      <c r="T192" s="140"/>
      <c r="U192" s="140"/>
      <c r="V192" s="140"/>
      <c r="W192" s="140"/>
      <c r="X192" s="70"/>
      <c r="Y192" s="70"/>
      <c r="Z192" s="70"/>
      <c r="AA192" s="70"/>
      <c r="AB192" s="70"/>
      <c r="AC192" s="70"/>
    </row>
    <row r="193">
      <c r="A193" s="97"/>
      <c r="B193" s="66"/>
      <c r="C193" s="66"/>
      <c r="D193" s="66"/>
      <c r="E193" s="66"/>
      <c r="F193" s="65"/>
      <c r="G193" s="140"/>
      <c r="H193" s="140"/>
      <c r="I193" s="145"/>
      <c r="J193" s="145"/>
      <c r="K193" s="140"/>
      <c r="L193" s="140"/>
      <c r="M193" s="140"/>
      <c r="N193" s="140"/>
      <c r="O193" s="140"/>
      <c r="P193" s="140"/>
      <c r="Q193" s="140"/>
      <c r="R193" s="140"/>
      <c r="S193" s="140"/>
      <c r="T193" s="140"/>
      <c r="U193" s="140"/>
      <c r="V193" s="140"/>
      <c r="W193" s="140"/>
      <c r="X193" s="70"/>
      <c r="Y193" s="70"/>
      <c r="Z193" s="70"/>
      <c r="AA193" s="70"/>
      <c r="AB193" s="70"/>
      <c r="AC193" s="70"/>
    </row>
    <row r="194">
      <c r="A194" s="97"/>
      <c r="B194" s="66"/>
      <c r="C194" s="66"/>
      <c r="D194" s="66"/>
      <c r="E194" s="66"/>
      <c r="F194" s="65"/>
      <c r="G194" s="140"/>
      <c r="H194" s="140"/>
      <c r="I194" s="145"/>
      <c r="J194" s="145"/>
      <c r="K194" s="140"/>
      <c r="L194" s="140"/>
      <c r="M194" s="140"/>
      <c r="N194" s="140"/>
      <c r="O194" s="140"/>
      <c r="P194" s="140"/>
      <c r="Q194" s="140"/>
      <c r="R194" s="140"/>
      <c r="S194" s="140"/>
      <c r="T194" s="140"/>
      <c r="U194" s="140"/>
      <c r="V194" s="140"/>
      <c r="W194" s="140"/>
      <c r="X194" s="70"/>
      <c r="Y194" s="70"/>
      <c r="Z194" s="70"/>
      <c r="AA194" s="70"/>
      <c r="AB194" s="70"/>
      <c r="AC194" s="70"/>
    </row>
  </sheetData>
  <mergeCells count="2">
    <mergeCell ref="H85:H94"/>
    <mergeCell ref="H134:H138"/>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13"/>
    <col customWidth="1" min="2" max="2" width="34.5"/>
    <col customWidth="1" min="3" max="5" width="24.25"/>
    <col customWidth="1" min="6" max="6" width="4.5"/>
    <col customWidth="1" min="7" max="7" width="24.25"/>
    <col customWidth="1" min="8" max="8" width="4.5"/>
    <col customWidth="1" min="9" max="9" width="26.13"/>
    <col customWidth="1" min="10" max="10" width="4.5"/>
  </cols>
  <sheetData>
    <row r="1">
      <c r="A1" s="146"/>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row>
    <row r="2">
      <c r="A2" s="146"/>
      <c r="B2" s="146"/>
      <c r="C2" s="146"/>
      <c r="D2" s="146"/>
      <c r="E2" s="146"/>
      <c r="F2" s="146"/>
      <c r="G2" s="146"/>
      <c r="H2" s="146"/>
      <c r="I2" s="146"/>
      <c r="J2" s="146"/>
      <c r="K2" s="146"/>
      <c r="L2" s="146"/>
      <c r="M2" s="146"/>
      <c r="N2" s="146"/>
      <c r="O2" s="146"/>
      <c r="P2" s="146"/>
      <c r="Q2" s="146"/>
      <c r="R2" s="146"/>
      <c r="S2" s="146"/>
      <c r="T2" s="146"/>
      <c r="U2" s="146"/>
      <c r="V2" s="146"/>
      <c r="W2" s="146"/>
      <c r="X2" s="146"/>
      <c r="Y2" s="146"/>
      <c r="Z2" s="146"/>
      <c r="AA2" s="146"/>
    </row>
    <row r="3">
      <c r="A3" s="147" t="s">
        <v>159</v>
      </c>
      <c r="B3" s="147"/>
      <c r="C3" s="147" t="s">
        <v>159</v>
      </c>
      <c r="D3" s="147" t="s">
        <v>159</v>
      </c>
      <c r="E3" s="147" t="s">
        <v>159</v>
      </c>
      <c r="F3" s="146"/>
      <c r="G3" s="148" t="s">
        <v>563</v>
      </c>
      <c r="H3" s="146"/>
      <c r="I3" s="149" t="s">
        <v>564</v>
      </c>
      <c r="J3" s="146"/>
      <c r="K3" s="146"/>
      <c r="L3" s="146"/>
      <c r="M3" s="146"/>
      <c r="N3" s="146"/>
      <c r="O3" s="146"/>
      <c r="P3" s="146"/>
      <c r="Q3" s="146"/>
      <c r="R3" s="146"/>
      <c r="S3" s="146"/>
      <c r="T3" s="146"/>
      <c r="U3" s="146"/>
      <c r="V3" s="146"/>
      <c r="W3" s="146"/>
      <c r="X3" s="146"/>
      <c r="Y3" s="146"/>
      <c r="Z3" s="146"/>
      <c r="AA3" s="146"/>
    </row>
    <row r="4">
      <c r="A4" s="147" t="s">
        <v>565</v>
      </c>
      <c r="B4" s="150"/>
      <c r="C4" s="150" t="s">
        <v>351</v>
      </c>
      <c r="D4" s="151" t="s">
        <v>148</v>
      </c>
      <c r="E4" s="152" t="s">
        <v>566</v>
      </c>
      <c r="F4" s="146"/>
      <c r="G4" s="84" t="s">
        <v>404</v>
      </c>
      <c r="H4" s="146"/>
      <c r="I4" s="146"/>
      <c r="J4" s="146"/>
      <c r="K4" s="146"/>
      <c r="L4" s="146"/>
      <c r="M4" s="146"/>
      <c r="N4" s="146"/>
      <c r="O4" s="146"/>
      <c r="P4" s="146"/>
      <c r="Q4" s="146"/>
      <c r="R4" s="146"/>
      <c r="S4" s="146"/>
      <c r="T4" s="146"/>
      <c r="U4" s="146"/>
      <c r="V4" s="146"/>
      <c r="W4" s="146"/>
      <c r="X4" s="146"/>
      <c r="Y4" s="146"/>
      <c r="Z4" s="146"/>
      <c r="AA4" s="146"/>
    </row>
    <row r="5">
      <c r="A5" s="146"/>
      <c r="B5" s="146"/>
      <c r="C5" s="146"/>
      <c r="D5" s="146"/>
      <c r="E5" s="146"/>
      <c r="F5" s="146"/>
      <c r="G5" s="146"/>
      <c r="H5" s="146"/>
      <c r="I5" s="146"/>
      <c r="J5" s="146"/>
      <c r="K5" s="146"/>
      <c r="L5" s="146"/>
      <c r="M5" s="146"/>
      <c r="N5" s="146"/>
      <c r="O5" s="146"/>
      <c r="P5" s="146"/>
      <c r="Q5" s="146"/>
      <c r="R5" s="146"/>
      <c r="S5" s="146"/>
      <c r="T5" s="146"/>
      <c r="U5" s="146"/>
      <c r="V5" s="146"/>
      <c r="W5" s="146"/>
      <c r="X5" s="146"/>
      <c r="Y5" s="146"/>
      <c r="Z5" s="146"/>
      <c r="AA5" s="146"/>
    </row>
    <row r="6">
      <c r="A6" s="153">
        <v>46085.0</v>
      </c>
      <c r="B6" s="154"/>
      <c r="C6" s="155">
        <v>23.48</v>
      </c>
      <c r="D6" s="155">
        <v>5169.88</v>
      </c>
      <c r="E6" s="156">
        <f>C6+D6</f>
        <v>5193.36</v>
      </c>
      <c r="F6" s="146"/>
      <c r="G6" s="157">
        <f>'MONTHLY CF'!N192</f>
        <v>5193.356</v>
      </c>
      <c r="H6" s="146"/>
      <c r="I6" s="155">
        <f>E6-G6</f>
        <v>0.004000000015</v>
      </c>
      <c r="J6" s="146"/>
      <c r="K6" s="146"/>
      <c r="L6" s="146"/>
      <c r="M6" s="146"/>
      <c r="N6" s="146"/>
      <c r="O6" s="146"/>
      <c r="P6" s="146"/>
      <c r="Q6" s="146"/>
      <c r="R6" s="146"/>
      <c r="S6" s="146"/>
      <c r="T6" s="146"/>
      <c r="U6" s="146"/>
      <c r="V6" s="146"/>
      <c r="W6" s="146"/>
      <c r="X6" s="146"/>
      <c r="Y6" s="146"/>
      <c r="Z6" s="146"/>
      <c r="AA6" s="146"/>
    </row>
    <row r="7">
      <c r="A7" s="146"/>
      <c r="B7" s="154"/>
      <c r="C7" s="158"/>
      <c r="D7" s="159"/>
      <c r="E7" s="158"/>
      <c r="F7" s="146"/>
      <c r="G7" s="158"/>
      <c r="H7" s="146"/>
      <c r="I7" s="155"/>
      <c r="J7" s="146"/>
      <c r="K7" s="146"/>
      <c r="L7" s="146"/>
      <c r="M7" s="146"/>
      <c r="N7" s="146"/>
      <c r="O7" s="146"/>
      <c r="P7" s="146"/>
      <c r="Q7" s="146"/>
      <c r="R7" s="146"/>
      <c r="S7" s="146"/>
      <c r="T7" s="146"/>
      <c r="U7" s="146"/>
      <c r="V7" s="146"/>
      <c r="W7" s="146"/>
      <c r="X7" s="146"/>
      <c r="Y7" s="146"/>
      <c r="Z7" s="146"/>
      <c r="AA7" s="146"/>
    </row>
    <row r="8">
      <c r="B8" s="154"/>
      <c r="C8" s="158"/>
      <c r="D8" s="155"/>
      <c r="E8" s="160"/>
      <c r="F8" s="146"/>
      <c r="G8" s="158"/>
      <c r="H8" s="146"/>
      <c r="I8" s="155"/>
      <c r="J8" s="146"/>
      <c r="K8" s="146"/>
      <c r="L8" s="146"/>
      <c r="M8" s="146"/>
      <c r="N8" s="146"/>
      <c r="O8" s="146"/>
      <c r="P8" s="146"/>
      <c r="Q8" s="146"/>
      <c r="R8" s="146"/>
      <c r="S8" s="146"/>
      <c r="T8" s="146"/>
      <c r="U8" s="146"/>
      <c r="V8" s="146"/>
      <c r="W8" s="146"/>
      <c r="X8" s="146"/>
      <c r="Y8" s="146"/>
      <c r="Z8" s="146"/>
      <c r="AA8" s="146"/>
    </row>
    <row r="9">
      <c r="A9" s="146"/>
      <c r="B9" s="154"/>
      <c r="C9" s="158"/>
      <c r="D9" s="155"/>
      <c r="E9" s="160"/>
      <c r="F9" s="146"/>
      <c r="G9" s="158"/>
      <c r="H9" s="146"/>
      <c r="I9" s="155"/>
      <c r="J9" s="146"/>
      <c r="K9" s="146"/>
      <c r="L9" s="146"/>
      <c r="M9" s="146"/>
      <c r="N9" s="146"/>
      <c r="O9" s="146"/>
      <c r="P9" s="146"/>
      <c r="Q9" s="146"/>
      <c r="R9" s="146"/>
      <c r="S9" s="146"/>
      <c r="T9" s="146"/>
      <c r="U9" s="146"/>
      <c r="V9" s="146"/>
      <c r="W9" s="146"/>
      <c r="X9" s="146"/>
      <c r="Y9" s="146"/>
      <c r="Z9" s="146"/>
      <c r="AA9" s="146"/>
    </row>
    <row r="10">
      <c r="A10" s="161" t="s">
        <v>567</v>
      </c>
      <c r="B10" s="154"/>
      <c r="C10" s="162"/>
      <c r="D10" s="163"/>
      <c r="E10" s="155"/>
      <c r="F10" s="146"/>
      <c r="G10" s="163"/>
      <c r="H10" s="146"/>
      <c r="I10" s="155"/>
      <c r="J10" s="146"/>
      <c r="K10" s="146"/>
      <c r="L10" s="146"/>
      <c r="M10" s="146"/>
      <c r="N10" s="146"/>
      <c r="O10" s="146"/>
      <c r="P10" s="146"/>
      <c r="Q10" s="146"/>
      <c r="R10" s="146"/>
      <c r="S10" s="146"/>
      <c r="T10" s="146"/>
      <c r="U10" s="146"/>
      <c r="V10" s="146"/>
      <c r="W10" s="146"/>
      <c r="X10" s="146"/>
      <c r="Y10" s="146"/>
      <c r="Z10" s="146"/>
      <c r="AA10" s="146"/>
    </row>
    <row r="11">
      <c r="A11" s="164"/>
      <c r="B11" s="154"/>
      <c r="C11" s="162"/>
      <c r="D11" s="162"/>
      <c r="E11" s="162"/>
      <c r="F11" s="162"/>
      <c r="G11" s="162"/>
      <c r="H11" s="146"/>
      <c r="I11" s="155"/>
      <c r="J11" s="146"/>
      <c r="K11" s="146"/>
      <c r="L11" s="146"/>
      <c r="M11" s="146"/>
      <c r="N11" s="146"/>
      <c r="O11" s="146"/>
      <c r="P11" s="146"/>
      <c r="Q11" s="146"/>
      <c r="R11" s="146"/>
      <c r="S11" s="146"/>
      <c r="T11" s="146"/>
      <c r="U11" s="146"/>
      <c r="V11" s="146"/>
      <c r="W11" s="146"/>
      <c r="X11" s="146"/>
      <c r="Y11" s="146"/>
      <c r="Z11" s="146"/>
      <c r="AA11" s="146"/>
    </row>
    <row r="12">
      <c r="A12" s="163"/>
      <c r="B12" s="154"/>
      <c r="C12" s="162"/>
      <c r="D12" s="162"/>
      <c r="E12" s="162"/>
      <c r="F12" s="162"/>
      <c r="G12" s="162"/>
      <c r="H12" s="146"/>
      <c r="I12" s="155"/>
      <c r="J12" s="146"/>
      <c r="K12" s="146"/>
      <c r="L12" s="146"/>
      <c r="M12" s="146"/>
      <c r="N12" s="146"/>
      <c r="O12" s="146"/>
      <c r="P12" s="146"/>
      <c r="Q12" s="146"/>
      <c r="R12" s="146"/>
      <c r="S12" s="146"/>
      <c r="T12" s="146"/>
      <c r="U12" s="146"/>
      <c r="V12" s="146"/>
      <c r="W12" s="146"/>
      <c r="X12" s="146"/>
      <c r="Y12" s="146"/>
      <c r="Z12" s="146"/>
      <c r="AA12" s="146"/>
    </row>
    <row r="13">
      <c r="A13" s="164"/>
      <c r="B13" s="154"/>
      <c r="C13" s="162"/>
      <c r="D13" s="162"/>
      <c r="E13" s="162"/>
      <c r="F13" s="162"/>
      <c r="G13" s="162"/>
      <c r="H13" s="146"/>
      <c r="I13" s="155"/>
      <c r="J13" s="146"/>
      <c r="K13" s="146"/>
      <c r="L13" s="146"/>
      <c r="M13" s="146"/>
      <c r="N13" s="146"/>
      <c r="O13" s="146"/>
      <c r="P13" s="146"/>
      <c r="Q13" s="146"/>
      <c r="R13" s="146"/>
      <c r="S13" s="146"/>
      <c r="T13" s="146"/>
      <c r="U13" s="146"/>
      <c r="V13" s="146"/>
      <c r="W13" s="146"/>
      <c r="X13" s="146"/>
      <c r="Y13" s="146"/>
      <c r="Z13" s="146"/>
      <c r="AA13" s="146"/>
    </row>
    <row r="14">
      <c r="A14" s="163"/>
      <c r="B14" s="154"/>
      <c r="C14" s="162"/>
      <c r="D14" s="162"/>
      <c r="E14" s="162"/>
      <c r="F14" s="162"/>
      <c r="G14" s="162"/>
      <c r="H14" s="146"/>
      <c r="I14" s="155"/>
      <c r="J14" s="146"/>
      <c r="K14" s="146"/>
      <c r="L14" s="146"/>
      <c r="M14" s="146"/>
      <c r="N14" s="146"/>
      <c r="O14" s="146"/>
      <c r="P14" s="146"/>
      <c r="Q14" s="146"/>
      <c r="R14" s="146"/>
      <c r="S14" s="146"/>
      <c r="T14" s="146"/>
      <c r="U14" s="146"/>
      <c r="V14" s="146"/>
      <c r="W14" s="146"/>
      <c r="X14" s="146"/>
      <c r="Y14" s="146"/>
      <c r="Z14" s="146"/>
      <c r="AA14" s="146"/>
    </row>
    <row r="15">
      <c r="A15" s="163"/>
      <c r="B15" s="154"/>
      <c r="C15" s="162"/>
      <c r="D15" s="162"/>
      <c r="E15" s="162"/>
      <c r="F15" s="162"/>
      <c r="G15" s="162"/>
      <c r="H15" s="146"/>
      <c r="I15" s="155"/>
      <c r="J15" s="146"/>
      <c r="K15" s="146"/>
      <c r="L15" s="146"/>
      <c r="M15" s="146"/>
      <c r="N15" s="146"/>
      <c r="O15" s="146"/>
      <c r="P15" s="146"/>
      <c r="Q15" s="146"/>
      <c r="R15" s="146"/>
      <c r="S15" s="146"/>
      <c r="T15" s="146"/>
      <c r="U15" s="146"/>
      <c r="V15" s="146"/>
      <c r="W15" s="146"/>
      <c r="X15" s="146"/>
      <c r="Y15" s="146"/>
      <c r="Z15" s="146"/>
      <c r="AA15" s="146"/>
    </row>
    <row r="16">
      <c r="A16" s="163"/>
      <c r="B16" s="154"/>
      <c r="C16" s="162"/>
      <c r="D16" s="162"/>
      <c r="E16" s="162"/>
      <c r="F16" s="162"/>
      <c r="G16" s="162"/>
      <c r="H16" s="146"/>
      <c r="I16" s="155"/>
      <c r="J16" s="146"/>
      <c r="K16" s="146"/>
      <c r="L16" s="146"/>
      <c r="M16" s="146"/>
      <c r="N16" s="146"/>
      <c r="O16" s="146"/>
      <c r="P16" s="146"/>
      <c r="Q16" s="146"/>
      <c r="R16" s="146"/>
      <c r="S16" s="146"/>
      <c r="T16" s="146"/>
      <c r="U16" s="146"/>
      <c r="V16" s="146"/>
      <c r="W16" s="146"/>
      <c r="X16" s="146"/>
      <c r="Y16" s="146"/>
      <c r="Z16" s="146"/>
      <c r="AA16" s="146"/>
    </row>
    <row r="17">
      <c r="A17" s="163"/>
      <c r="B17" s="154"/>
      <c r="C17" s="162"/>
      <c r="D17" s="162"/>
      <c r="E17" s="162"/>
      <c r="F17" s="162"/>
      <c r="G17" s="162"/>
      <c r="H17" s="146"/>
      <c r="I17" s="155"/>
      <c r="J17" s="146"/>
      <c r="K17" s="146"/>
      <c r="L17" s="146"/>
      <c r="M17" s="146"/>
      <c r="N17" s="146"/>
      <c r="O17" s="146"/>
      <c r="P17" s="146"/>
      <c r="Q17" s="146"/>
      <c r="R17" s="146"/>
      <c r="S17" s="146"/>
      <c r="T17" s="146"/>
      <c r="U17" s="146"/>
      <c r="V17" s="146"/>
      <c r="W17" s="146"/>
      <c r="X17" s="146"/>
      <c r="Y17" s="146"/>
      <c r="Z17" s="146"/>
      <c r="AA17" s="146"/>
    </row>
    <row r="18">
      <c r="A18" s="164"/>
      <c r="B18" s="154"/>
      <c r="C18" s="162"/>
      <c r="D18" s="162"/>
      <c r="E18" s="162"/>
      <c r="F18" s="162"/>
      <c r="G18" s="162"/>
      <c r="H18" s="146"/>
      <c r="I18" s="155"/>
      <c r="J18" s="146"/>
      <c r="K18" s="146"/>
      <c r="L18" s="146"/>
      <c r="M18" s="146"/>
      <c r="N18" s="146"/>
      <c r="O18" s="146"/>
      <c r="P18" s="146"/>
      <c r="Q18" s="146"/>
      <c r="R18" s="146"/>
      <c r="S18" s="146"/>
      <c r="T18" s="146"/>
      <c r="U18" s="146"/>
      <c r="V18" s="146"/>
      <c r="W18" s="146"/>
      <c r="X18" s="146"/>
      <c r="Y18" s="146"/>
      <c r="Z18" s="146"/>
      <c r="AA18" s="146"/>
    </row>
    <row r="19">
      <c r="B19" s="154"/>
      <c r="C19" s="162"/>
      <c r="D19" s="162"/>
      <c r="E19" s="162"/>
      <c r="F19" s="162"/>
      <c r="G19" s="162"/>
      <c r="H19" s="146"/>
      <c r="I19" s="155"/>
      <c r="J19" s="146"/>
      <c r="K19" s="146"/>
      <c r="L19" s="146"/>
      <c r="M19" s="146"/>
      <c r="N19" s="146"/>
      <c r="O19" s="146"/>
      <c r="P19" s="146"/>
      <c r="Q19" s="146"/>
      <c r="R19" s="146"/>
      <c r="S19" s="146"/>
      <c r="T19" s="146"/>
      <c r="U19" s="146"/>
      <c r="V19" s="146"/>
      <c r="W19" s="146"/>
      <c r="X19" s="146"/>
      <c r="Y19" s="146"/>
      <c r="Z19" s="146"/>
      <c r="AA19" s="146"/>
    </row>
    <row r="20">
      <c r="A20" s="146"/>
      <c r="B20" s="154"/>
      <c r="C20" s="162"/>
      <c r="D20" s="162"/>
      <c r="E20" s="162"/>
      <c r="F20" s="162"/>
      <c r="G20" s="162"/>
      <c r="H20" s="146"/>
      <c r="I20" s="155"/>
      <c r="J20" s="146"/>
      <c r="K20" s="146"/>
      <c r="L20" s="146"/>
      <c r="M20" s="146"/>
      <c r="N20" s="146"/>
      <c r="O20" s="146"/>
      <c r="P20" s="146"/>
      <c r="Q20" s="146"/>
      <c r="R20" s="146"/>
      <c r="S20" s="146"/>
      <c r="T20" s="146"/>
      <c r="U20" s="146"/>
      <c r="V20" s="146"/>
      <c r="W20" s="146"/>
      <c r="X20" s="146"/>
      <c r="Y20" s="146"/>
      <c r="Z20" s="146"/>
      <c r="AA20" s="146"/>
    </row>
    <row r="21">
      <c r="A21" s="146"/>
      <c r="B21" s="158"/>
      <c r="C21" s="158"/>
      <c r="D21" s="158"/>
      <c r="E21" s="158"/>
      <c r="F21" s="158"/>
      <c r="G21" s="158"/>
      <c r="H21" s="146"/>
      <c r="I21" s="155"/>
      <c r="J21" s="146"/>
      <c r="K21" s="146"/>
      <c r="L21" s="146"/>
      <c r="M21" s="146"/>
      <c r="N21" s="146"/>
      <c r="O21" s="146"/>
      <c r="P21" s="146"/>
      <c r="Q21" s="146"/>
      <c r="R21" s="146"/>
      <c r="S21" s="146"/>
      <c r="T21" s="146"/>
      <c r="U21" s="146"/>
      <c r="V21" s="146"/>
      <c r="W21" s="146"/>
      <c r="X21" s="146"/>
      <c r="Y21" s="146"/>
      <c r="Z21" s="146"/>
      <c r="AA21" s="146"/>
    </row>
    <row r="22">
      <c r="A22" s="146"/>
      <c r="B22" s="158"/>
      <c r="C22" s="158"/>
      <c r="D22" s="158"/>
      <c r="E22" s="158"/>
      <c r="F22" s="158"/>
      <c r="G22" s="158"/>
      <c r="H22" s="146"/>
      <c r="I22" s="155"/>
      <c r="J22" s="146"/>
      <c r="K22" s="146"/>
      <c r="L22" s="146"/>
      <c r="M22" s="146"/>
      <c r="N22" s="146"/>
      <c r="O22" s="146"/>
      <c r="P22" s="146"/>
      <c r="Q22" s="146"/>
      <c r="R22" s="146"/>
      <c r="S22" s="146"/>
      <c r="T22" s="146"/>
      <c r="U22" s="146"/>
      <c r="V22" s="146"/>
      <c r="W22" s="146"/>
      <c r="X22" s="146"/>
      <c r="Y22" s="146"/>
      <c r="Z22" s="146"/>
      <c r="AA22" s="146"/>
    </row>
    <row r="23">
      <c r="A23" s="146"/>
      <c r="B23" s="158"/>
      <c r="C23" s="158"/>
      <c r="D23" s="158"/>
      <c r="E23" s="158"/>
      <c r="F23" s="146"/>
      <c r="G23" s="158"/>
      <c r="H23" s="146"/>
      <c r="I23" s="165"/>
      <c r="J23" s="146"/>
      <c r="K23" s="146"/>
      <c r="L23" s="146"/>
      <c r="M23" s="146"/>
      <c r="N23" s="146"/>
      <c r="O23" s="146"/>
      <c r="P23" s="146"/>
      <c r="Q23" s="146"/>
      <c r="R23" s="146"/>
      <c r="S23" s="146"/>
      <c r="T23" s="146"/>
      <c r="U23" s="146"/>
      <c r="V23" s="146"/>
      <c r="W23" s="146"/>
      <c r="X23" s="146"/>
      <c r="Y23" s="146"/>
      <c r="Z23" s="146"/>
      <c r="AA23" s="146"/>
    </row>
    <row r="24">
      <c r="A24" s="146"/>
      <c r="B24" s="158"/>
      <c r="C24" s="158"/>
      <c r="D24" s="158"/>
      <c r="E24" s="158"/>
      <c r="F24" s="146"/>
      <c r="G24" s="158"/>
      <c r="H24" s="146"/>
      <c r="I24" s="165"/>
      <c r="J24" s="146"/>
      <c r="K24" s="146"/>
      <c r="L24" s="146"/>
      <c r="M24" s="146"/>
      <c r="N24" s="146"/>
      <c r="O24" s="146"/>
      <c r="P24" s="146"/>
      <c r="Q24" s="146"/>
      <c r="R24" s="146"/>
      <c r="S24" s="146"/>
      <c r="T24" s="146"/>
      <c r="U24" s="146"/>
      <c r="V24" s="146"/>
      <c r="W24" s="146"/>
      <c r="X24" s="146"/>
      <c r="Y24" s="146"/>
      <c r="Z24" s="146"/>
      <c r="AA24" s="146"/>
    </row>
    <row r="25">
      <c r="A25" s="146"/>
      <c r="B25" s="166" t="s">
        <v>491</v>
      </c>
      <c r="C25" s="155">
        <f>SUM(C6:C19)</f>
        <v>23.48</v>
      </c>
      <c r="D25" s="155">
        <f t="shared" ref="D25:E25" si="1">SUM(D6:D22)</f>
        <v>5169.88</v>
      </c>
      <c r="E25" s="155">
        <f t="shared" si="1"/>
        <v>5193.36</v>
      </c>
      <c r="F25" s="155"/>
      <c r="G25" s="155">
        <f>SUM(G6:G22)</f>
        <v>5193.356</v>
      </c>
      <c r="H25" s="155"/>
      <c r="I25" s="155">
        <f>SUM(I6:I22)</f>
        <v>0.004000000015</v>
      </c>
      <c r="J25" s="146"/>
      <c r="K25" s="146"/>
      <c r="L25" s="146"/>
      <c r="M25" s="146"/>
      <c r="N25" s="146"/>
      <c r="O25" s="146"/>
      <c r="P25" s="146"/>
      <c r="Q25" s="146"/>
      <c r="R25" s="146"/>
      <c r="S25" s="146"/>
      <c r="T25" s="146"/>
      <c r="U25" s="146"/>
      <c r="V25" s="146"/>
      <c r="W25" s="146"/>
      <c r="X25" s="146"/>
      <c r="Y25" s="146"/>
      <c r="Z25" s="146"/>
      <c r="AA25" s="146"/>
    </row>
    <row r="26">
      <c r="A26" s="167"/>
      <c r="B26" s="168"/>
      <c r="C26" s="169"/>
      <c r="D26" s="169"/>
      <c r="E26" s="170"/>
      <c r="F26" s="167"/>
      <c r="G26" s="171"/>
      <c r="H26" s="167"/>
      <c r="I26" s="165"/>
      <c r="J26" s="167"/>
      <c r="K26" s="167"/>
      <c r="L26" s="167"/>
      <c r="M26" s="167"/>
      <c r="N26" s="167"/>
      <c r="O26" s="167"/>
      <c r="P26" s="167"/>
      <c r="Q26" s="167"/>
      <c r="R26" s="167"/>
      <c r="S26" s="167"/>
      <c r="T26" s="167"/>
      <c r="U26" s="167"/>
      <c r="V26" s="167"/>
      <c r="W26" s="167"/>
      <c r="X26" s="167"/>
      <c r="Y26" s="167"/>
      <c r="Z26" s="167"/>
      <c r="AA26" s="167"/>
    </row>
    <row r="27">
      <c r="A27" s="153"/>
      <c r="B27" s="168"/>
      <c r="C27" s="168"/>
      <c r="D27" s="168"/>
      <c r="E27" s="155"/>
      <c r="F27" s="172"/>
      <c r="G27" s="171"/>
      <c r="H27" s="172"/>
      <c r="I27" s="155"/>
      <c r="J27" s="173"/>
      <c r="K27" s="172"/>
      <c r="L27" s="174"/>
      <c r="M27" s="167"/>
      <c r="N27" s="167"/>
      <c r="O27" s="167"/>
      <c r="P27" s="167"/>
      <c r="Q27" s="167"/>
      <c r="R27" s="167"/>
      <c r="S27" s="167"/>
      <c r="T27" s="167"/>
      <c r="U27" s="167"/>
      <c r="V27" s="167"/>
      <c r="W27" s="167"/>
      <c r="X27" s="167"/>
      <c r="Y27" s="167"/>
      <c r="Z27" s="167"/>
      <c r="AA27" s="167"/>
    </row>
    <row r="28">
      <c r="A28" s="153"/>
      <c r="B28" s="168"/>
      <c r="C28" s="168"/>
      <c r="D28" s="168"/>
      <c r="E28" s="155"/>
      <c r="F28" s="175"/>
      <c r="G28" s="171"/>
      <c r="H28" s="175"/>
      <c r="I28" s="155"/>
      <c r="J28" s="175"/>
      <c r="K28" s="176"/>
      <c r="L28" s="177"/>
      <c r="M28" s="178"/>
      <c r="N28" s="167"/>
      <c r="O28" s="167"/>
      <c r="P28" s="167"/>
      <c r="Q28" s="167"/>
      <c r="R28" s="167"/>
      <c r="S28" s="167"/>
      <c r="T28" s="167"/>
      <c r="U28" s="167"/>
      <c r="V28" s="167"/>
      <c r="W28" s="167"/>
      <c r="X28" s="167"/>
      <c r="Y28" s="167"/>
      <c r="Z28" s="167"/>
      <c r="AA28" s="167"/>
    </row>
    <row r="29">
      <c r="A29" s="153"/>
      <c r="E29" s="179"/>
      <c r="F29" s="177"/>
      <c r="G29" s="152"/>
      <c r="H29" s="177"/>
      <c r="I29" s="179"/>
      <c r="J29" s="175"/>
      <c r="K29" s="176"/>
      <c r="L29" s="177"/>
      <c r="M29" s="178"/>
      <c r="N29" s="167"/>
      <c r="O29" s="167"/>
      <c r="P29" s="167"/>
      <c r="Q29" s="167"/>
      <c r="R29" s="167"/>
      <c r="S29" s="167"/>
      <c r="T29" s="167"/>
      <c r="U29" s="167"/>
      <c r="V29" s="167"/>
      <c r="W29" s="167"/>
      <c r="X29" s="167"/>
      <c r="Y29" s="167"/>
      <c r="Z29" s="167"/>
      <c r="AA29" s="167"/>
    </row>
    <row r="30">
      <c r="A30" s="153"/>
      <c r="B30" s="24"/>
      <c r="C30" s="24"/>
      <c r="D30" s="180"/>
      <c r="E30" s="179"/>
      <c r="F30" s="177"/>
      <c r="G30" s="152"/>
      <c r="H30" s="177"/>
      <c r="I30" s="179"/>
      <c r="J30" s="175"/>
      <c r="K30" s="176"/>
      <c r="L30" s="177"/>
      <c r="M30" s="178"/>
      <c r="N30" s="167"/>
      <c r="O30" s="167"/>
      <c r="P30" s="167"/>
      <c r="Q30" s="167"/>
      <c r="R30" s="167"/>
      <c r="S30" s="167"/>
      <c r="T30" s="167"/>
      <c r="U30" s="167"/>
      <c r="V30" s="167"/>
      <c r="W30" s="167"/>
      <c r="X30" s="167"/>
      <c r="Y30" s="167"/>
      <c r="Z30" s="167"/>
      <c r="AA30" s="167"/>
    </row>
    <row r="31">
      <c r="A31" s="153"/>
      <c r="B31" s="181"/>
      <c r="C31" s="24"/>
      <c r="D31" s="24"/>
      <c r="F31" s="167"/>
      <c r="G31" s="167"/>
      <c r="H31" s="167"/>
      <c r="I31" s="182"/>
      <c r="J31" s="167"/>
      <c r="K31" s="167"/>
      <c r="L31" s="167"/>
      <c r="M31" s="178"/>
      <c r="N31" s="167"/>
      <c r="O31" s="167"/>
      <c r="P31" s="167"/>
      <c r="Q31" s="167"/>
      <c r="R31" s="167"/>
      <c r="S31" s="167"/>
      <c r="T31" s="167"/>
      <c r="U31" s="167"/>
      <c r="V31" s="167"/>
      <c r="W31" s="167"/>
      <c r="X31" s="167"/>
      <c r="Y31" s="167"/>
      <c r="Z31" s="167"/>
      <c r="AA31" s="167"/>
    </row>
    <row r="32">
      <c r="A32" s="167"/>
      <c r="B32" s="181"/>
      <c r="C32" s="181"/>
      <c r="D32" s="181"/>
      <c r="F32" s="178"/>
      <c r="G32" s="178"/>
      <c r="H32" s="178"/>
      <c r="I32" s="181"/>
      <c r="J32" s="178"/>
      <c r="K32" s="178"/>
      <c r="L32" s="178"/>
      <c r="M32" s="178"/>
      <c r="N32" s="167"/>
      <c r="O32" s="167"/>
      <c r="P32" s="167"/>
      <c r="Q32" s="167"/>
      <c r="R32" s="167"/>
      <c r="S32" s="167"/>
      <c r="T32" s="167"/>
      <c r="U32" s="167"/>
      <c r="V32" s="167"/>
      <c r="W32" s="167"/>
      <c r="X32" s="167"/>
      <c r="Y32" s="167"/>
      <c r="Z32" s="167"/>
      <c r="AA32" s="167"/>
    </row>
    <row r="33">
      <c r="A33" s="167"/>
      <c r="B33" s="182"/>
      <c r="C33" s="182"/>
      <c r="D33" s="182"/>
      <c r="F33" s="167"/>
      <c r="G33" s="167"/>
      <c r="H33" s="167"/>
      <c r="I33" s="182"/>
      <c r="J33" s="167"/>
      <c r="K33" s="167"/>
      <c r="L33" s="167"/>
      <c r="M33" s="167"/>
      <c r="N33" s="167"/>
      <c r="O33" s="167"/>
      <c r="P33" s="167"/>
      <c r="Q33" s="167"/>
      <c r="R33" s="167"/>
      <c r="S33" s="167"/>
      <c r="T33" s="167"/>
      <c r="U33" s="167"/>
      <c r="V33" s="167"/>
      <c r="W33" s="167"/>
      <c r="X33" s="167"/>
      <c r="Y33" s="167"/>
      <c r="Z33" s="167"/>
      <c r="AA33" s="167"/>
    </row>
    <row r="34">
      <c r="A34" s="167"/>
      <c r="B34" s="182"/>
      <c r="C34" s="182"/>
      <c r="D34" s="182"/>
      <c r="F34" s="167"/>
      <c r="G34" s="167"/>
      <c r="H34" s="167"/>
      <c r="I34" s="167"/>
      <c r="J34" s="167"/>
      <c r="K34" s="167"/>
      <c r="L34" s="167"/>
      <c r="M34" s="167"/>
      <c r="N34" s="167"/>
      <c r="O34" s="167"/>
      <c r="P34" s="167"/>
      <c r="Q34" s="167"/>
      <c r="R34" s="167"/>
      <c r="S34" s="167"/>
      <c r="T34" s="167"/>
      <c r="U34" s="167"/>
      <c r="V34" s="167"/>
      <c r="W34" s="167"/>
      <c r="X34" s="167"/>
      <c r="Y34" s="167"/>
      <c r="Z34" s="167"/>
      <c r="AA34" s="167"/>
    </row>
    <row r="35">
      <c r="A35" s="167"/>
      <c r="B35" s="183"/>
      <c r="C35" s="182"/>
      <c r="D35" s="182"/>
      <c r="F35" s="167"/>
      <c r="G35" s="167"/>
      <c r="H35" s="167"/>
      <c r="I35" s="167"/>
      <c r="J35" s="167"/>
      <c r="K35" s="167"/>
      <c r="L35" s="167"/>
      <c r="M35" s="167"/>
      <c r="N35" s="167"/>
      <c r="O35" s="167"/>
      <c r="P35" s="167"/>
      <c r="Q35" s="167"/>
      <c r="R35" s="167"/>
      <c r="S35" s="167"/>
      <c r="T35" s="167"/>
      <c r="U35" s="167"/>
      <c r="V35" s="167"/>
      <c r="W35" s="167"/>
      <c r="X35" s="167"/>
      <c r="Y35" s="167"/>
      <c r="Z35" s="167"/>
      <c r="AA35" s="167"/>
    </row>
    <row r="36">
      <c r="B36" s="24"/>
      <c r="C36" s="182"/>
      <c r="D36" s="182"/>
      <c r="F36" s="146"/>
      <c r="G36" s="146"/>
      <c r="H36" s="146"/>
      <c r="I36" s="146"/>
      <c r="J36" s="146"/>
      <c r="K36" s="146"/>
      <c r="L36" s="146"/>
      <c r="M36" s="146"/>
      <c r="N36" s="146"/>
      <c r="O36" s="146"/>
      <c r="P36" s="146"/>
      <c r="Q36" s="146"/>
      <c r="R36" s="146"/>
      <c r="S36" s="146"/>
      <c r="T36" s="146"/>
      <c r="U36" s="146"/>
      <c r="V36" s="146"/>
      <c r="W36" s="146"/>
      <c r="X36" s="146"/>
      <c r="Y36" s="146"/>
      <c r="Z36" s="146"/>
      <c r="AA36" s="146"/>
    </row>
    <row r="37">
      <c r="A37" s="146"/>
      <c r="B37" s="180"/>
      <c r="C37" s="182"/>
      <c r="D37" s="182"/>
      <c r="F37" s="146"/>
      <c r="G37" s="146"/>
      <c r="H37" s="146"/>
      <c r="I37" s="146"/>
      <c r="J37" s="146"/>
      <c r="K37" s="146"/>
      <c r="L37" s="146"/>
      <c r="M37" s="146"/>
      <c r="N37" s="146"/>
      <c r="O37" s="146"/>
      <c r="P37" s="146"/>
      <c r="Q37" s="146"/>
      <c r="R37" s="146"/>
      <c r="S37" s="146"/>
      <c r="T37" s="146"/>
      <c r="U37" s="146"/>
      <c r="V37" s="146"/>
      <c r="W37" s="146"/>
      <c r="X37" s="146"/>
      <c r="Y37" s="146"/>
      <c r="Z37" s="146"/>
      <c r="AA37" s="146"/>
    </row>
    <row r="38">
      <c r="A38" s="146"/>
      <c r="B38" s="180"/>
      <c r="C38" s="182"/>
      <c r="D38" s="182"/>
      <c r="F38" s="146"/>
      <c r="G38" s="146"/>
      <c r="H38" s="146"/>
      <c r="I38" s="146"/>
      <c r="J38" s="146"/>
      <c r="K38" s="146"/>
      <c r="L38" s="146"/>
      <c r="M38" s="146"/>
      <c r="N38" s="146"/>
      <c r="O38" s="146"/>
      <c r="P38" s="146"/>
      <c r="Q38" s="146"/>
      <c r="R38" s="146"/>
      <c r="S38" s="146"/>
      <c r="T38" s="146"/>
      <c r="U38" s="146"/>
      <c r="V38" s="146"/>
      <c r="W38" s="146"/>
      <c r="X38" s="146"/>
      <c r="Y38" s="146"/>
      <c r="Z38" s="146"/>
      <c r="AA38" s="146"/>
    </row>
    <row r="39">
      <c r="A39" s="146"/>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146"/>
      <c r="AA39" s="146"/>
    </row>
    <row r="40">
      <c r="A40" s="146"/>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c r="AA40" s="146"/>
    </row>
    <row r="41">
      <c r="A41" s="146"/>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c r="AA41" s="146"/>
    </row>
    <row r="42">
      <c r="A42" s="146"/>
      <c r="B42" s="146"/>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c r="AA42" s="146"/>
    </row>
    <row r="43">
      <c r="A43" s="146"/>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c r="AA43" s="146"/>
    </row>
    <row r="44">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row>
    <row r="45">
      <c r="A45" s="146"/>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c r="Z45" s="146"/>
      <c r="AA45" s="146"/>
    </row>
    <row r="46">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c r="AA46" s="146"/>
    </row>
    <row r="47">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c r="AA47" s="146"/>
    </row>
    <row r="48">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c r="AA48" s="146"/>
    </row>
    <row r="49">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c r="AA49" s="146"/>
    </row>
    <row r="50">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c r="AA50" s="146"/>
    </row>
    <row r="5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row>
    <row r="52">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row>
    <row r="53">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row>
    <row r="54">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146"/>
    </row>
    <row r="55">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c r="AA55" s="146"/>
    </row>
    <row r="56">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c r="AA56" s="146"/>
    </row>
    <row r="57">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c r="AA57" s="146"/>
    </row>
    <row r="58">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c r="AA58" s="146"/>
    </row>
    <row r="59">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row>
    <row r="60">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row>
    <row r="6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row>
    <row r="62">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row>
    <row r="63">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row>
    <row r="64">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row>
    <row r="65">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row>
    <row r="66">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row>
    <row r="67">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row>
    <row r="68">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row>
    <row r="69">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row>
    <row r="70">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row>
    <row r="7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c r="AA71" s="146"/>
    </row>
    <row r="72">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c r="AA72" s="146"/>
    </row>
    <row r="7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row>
    <row r="74">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146"/>
    </row>
    <row r="75">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c r="AA75" s="146"/>
    </row>
    <row r="76">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c r="AA76" s="146"/>
    </row>
    <row r="77">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c r="AA77" s="146"/>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c r="AA78" s="146"/>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c r="AA79" s="146"/>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c r="AA80" s="146"/>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c r="AA81" s="146"/>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c r="AA82" s="146"/>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c r="AA83" s="146"/>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c r="AA84" s="146"/>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146"/>
    </row>
    <row r="86">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c r="AA86" s="146"/>
    </row>
    <row r="87">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146"/>
    </row>
    <row r="88">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c r="AA88" s="146"/>
    </row>
    <row r="89">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row>
    <row r="90">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c r="AA90" s="146"/>
    </row>
    <row r="9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c r="AA91" s="146"/>
    </row>
    <row r="92">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c r="AA92" s="146"/>
    </row>
    <row r="93">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c r="AA93" s="146"/>
    </row>
    <row r="94">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146"/>
    </row>
    <row r="95">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c r="AA95" s="146"/>
    </row>
    <row r="96">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c r="AA96" s="146"/>
    </row>
    <row r="97">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c r="AA97" s="146"/>
    </row>
    <row r="98">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c r="AA98" s="146"/>
    </row>
    <row r="99">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c r="AA99" s="146"/>
    </row>
    <row r="100">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c r="AA100" s="146"/>
    </row>
    <row r="10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c r="AA101" s="146"/>
    </row>
    <row r="102">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c r="AA102" s="146"/>
    </row>
    <row r="103">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c r="AA103" s="146"/>
    </row>
    <row r="104">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c r="AA104" s="146"/>
    </row>
    <row r="105">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row>
    <row r="106">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c r="AA106" s="146"/>
    </row>
    <row r="107">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c r="AA107" s="146"/>
    </row>
    <row r="108">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c r="AA108" s="146"/>
    </row>
    <row r="109">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146"/>
    </row>
    <row r="110">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c r="AA110" s="146"/>
    </row>
    <row r="11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c r="AA111" s="146"/>
    </row>
    <row r="112">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146"/>
    </row>
    <row r="113">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c r="AA113" s="146"/>
    </row>
    <row r="114">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c r="AA114" s="146"/>
    </row>
    <row r="115">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row>
    <row r="116">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c r="AA116" s="146"/>
    </row>
    <row r="117">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c r="AA117" s="146"/>
    </row>
    <row r="118">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c r="AA118" s="146"/>
    </row>
    <row r="119">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c r="AA119" s="146"/>
    </row>
    <row r="120">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c r="AA120" s="146"/>
    </row>
    <row r="12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row>
    <row r="122">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c r="AA122" s="146"/>
    </row>
    <row r="123">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c r="AA123" s="146"/>
    </row>
    <row r="124">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c r="AA124" s="146"/>
    </row>
    <row r="125">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146"/>
    </row>
    <row r="126">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c r="AA126" s="146"/>
    </row>
    <row r="127">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c r="AA127" s="146"/>
    </row>
    <row r="128">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146"/>
    </row>
    <row r="129">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c r="AA129" s="146"/>
    </row>
    <row r="130">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c r="AA130" s="146"/>
    </row>
    <row r="13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c r="AA131" s="146"/>
    </row>
    <row r="132">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c r="AA132" s="146"/>
    </row>
    <row r="133">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c r="AA133" s="146"/>
    </row>
    <row r="134">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c r="AA134" s="146"/>
    </row>
    <row r="135">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c r="AA135" s="146"/>
    </row>
    <row r="136">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c r="AA136" s="146"/>
    </row>
    <row r="137">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146"/>
    </row>
    <row r="138">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c r="AA138" s="146"/>
    </row>
    <row r="139">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row>
    <row r="140">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row>
    <row r="14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c r="AA141" s="146"/>
    </row>
    <row r="142">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c r="AA142" s="146"/>
    </row>
    <row r="143">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c r="AA143" s="146"/>
    </row>
    <row r="144">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row>
    <row r="145">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c r="AA145" s="146"/>
    </row>
    <row r="146">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row>
    <row r="147">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c r="AA147" s="146"/>
    </row>
    <row r="148">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row>
    <row r="149">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c r="AA149" s="146"/>
    </row>
    <row r="150">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c r="AA150" s="146"/>
    </row>
    <row r="15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c r="AA151" s="146"/>
    </row>
    <row r="152">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c r="AA152" s="146"/>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c r="AA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c r="AA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c r="AA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c r="AA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c r="AA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c r="AA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c r="AA160" s="146"/>
    </row>
    <row r="16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c r="AA161" s="146"/>
    </row>
    <row r="162">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c r="AA162" s="146"/>
    </row>
    <row r="163">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c r="AA163" s="146"/>
    </row>
    <row r="164">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c r="AA164" s="146"/>
    </row>
    <row r="165">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c r="AA165" s="146"/>
    </row>
    <row r="166">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row>
    <row r="167">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c r="AA167" s="146"/>
    </row>
    <row r="168">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c r="AA168" s="146"/>
    </row>
    <row r="169">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c r="AA169" s="146"/>
    </row>
    <row r="170">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c r="AA170" s="146"/>
    </row>
    <row r="17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c r="AA171" s="146"/>
    </row>
    <row r="172">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c r="AA172" s="146"/>
    </row>
    <row r="173">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c r="AA173" s="146"/>
    </row>
    <row r="174">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c r="AA174" s="146"/>
    </row>
    <row r="175">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c r="AA175" s="146"/>
    </row>
    <row r="176">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c r="AA176" s="146"/>
    </row>
    <row r="177">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c r="AA177" s="146"/>
    </row>
    <row r="178">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c r="AA178" s="146"/>
    </row>
    <row r="179">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c r="AA179" s="146"/>
    </row>
    <row r="180">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c r="AA180" s="146"/>
    </row>
    <row r="18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c r="AA181" s="146"/>
    </row>
    <row r="182">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c r="AA182" s="146"/>
    </row>
    <row r="183">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c r="AA183" s="146"/>
    </row>
    <row r="184">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c r="AA184" s="146"/>
    </row>
    <row r="185">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c r="AA185" s="146"/>
    </row>
    <row r="186">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c r="AA186" s="146"/>
    </row>
    <row r="187">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c r="AA187" s="146"/>
    </row>
    <row r="188">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c r="AA188" s="146"/>
    </row>
    <row r="189">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c r="AA189" s="146"/>
    </row>
    <row r="190">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c r="AA190" s="146"/>
    </row>
    <row r="19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c r="AA191" s="146"/>
    </row>
    <row r="192">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c r="AA192" s="146"/>
    </row>
    <row r="193">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c r="AA193" s="146"/>
    </row>
    <row r="194">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146"/>
    </row>
    <row r="195">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c r="AA195" s="146"/>
    </row>
    <row r="196">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146"/>
    </row>
    <row r="197">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c r="AA197" s="146"/>
    </row>
    <row r="198">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row>
    <row r="199">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c r="AA199" s="146"/>
    </row>
    <row r="200">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c r="AA200" s="146"/>
    </row>
    <row r="20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c r="AA201" s="146"/>
    </row>
    <row r="202">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c r="AA202" s="146"/>
    </row>
    <row r="203">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c r="AA203" s="146"/>
    </row>
    <row r="204">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c r="AA204" s="146"/>
    </row>
    <row r="205">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c r="AA205" s="146"/>
    </row>
    <row r="206">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c r="AA206" s="146"/>
    </row>
    <row r="207">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c r="AA207" s="146"/>
    </row>
    <row r="208">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c r="AA208" s="146"/>
    </row>
    <row r="209">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c r="AA209" s="146"/>
    </row>
    <row r="210">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c r="AA210" s="146"/>
    </row>
    <row r="21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c r="AA211" s="146"/>
    </row>
    <row r="212">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c r="AA212" s="146"/>
    </row>
    <row r="213">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c r="AA213" s="146"/>
    </row>
    <row r="214">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c r="AA214" s="146"/>
    </row>
    <row r="215">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c r="AA215" s="146"/>
    </row>
    <row r="216">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c r="AA216" s="146"/>
    </row>
    <row r="217">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c r="AA217" s="146"/>
    </row>
    <row r="218">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c r="AA218" s="146"/>
    </row>
    <row r="219">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c r="AA219" s="146"/>
    </row>
    <row r="220">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c r="AA220" s="146"/>
    </row>
    <row r="22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c r="AA221" s="146"/>
    </row>
    <row r="222">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c r="AA222" s="146"/>
    </row>
    <row r="223">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c r="AA223" s="146"/>
    </row>
    <row r="224">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c r="AA224" s="146"/>
    </row>
    <row r="22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c r="AA225" s="146"/>
    </row>
    <row r="226">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c r="AA226" s="146"/>
    </row>
    <row r="227">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c r="AA227" s="146"/>
    </row>
    <row r="228">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c r="AA228" s="146"/>
    </row>
    <row r="229">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c r="AA229" s="146"/>
    </row>
    <row r="230">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c r="AA230" s="146"/>
    </row>
    <row r="23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c r="AA231" s="146"/>
    </row>
    <row r="232">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c r="AA232" s="146"/>
    </row>
    <row r="233">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c r="AA233" s="146"/>
    </row>
    <row r="234">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c r="AA234" s="146"/>
    </row>
    <row r="235">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c r="AA235" s="146"/>
    </row>
    <row r="236">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c r="AA236" s="146"/>
    </row>
    <row r="237">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c r="AA237" s="146"/>
    </row>
    <row r="238">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c r="AA238" s="146"/>
    </row>
    <row r="239">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c r="AA239" s="146"/>
    </row>
    <row r="240">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c r="AA240" s="146"/>
    </row>
    <row r="24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c r="AA241" s="146"/>
    </row>
    <row r="242">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c r="AA242" s="146"/>
    </row>
    <row r="243">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c r="AA243" s="146"/>
    </row>
    <row r="244">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c r="AA244" s="146"/>
    </row>
    <row r="245">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c r="AA245" s="146"/>
    </row>
    <row r="246">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c r="AA246" s="146"/>
    </row>
    <row r="247">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c r="AA247" s="146"/>
    </row>
    <row r="248">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c r="AA248" s="146"/>
    </row>
    <row r="249">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c r="AA249" s="146"/>
    </row>
    <row r="250">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c r="AA250" s="146"/>
    </row>
    <row r="25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c r="AA251" s="146"/>
    </row>
    <row r="252">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c r="AA252" s="146"/>
    </row>
    <row r="253">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c r="AA253" s="146"/>
    </row>
    <row r="254">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c r="AA254" s="146"/>
    </row>
    <row r="255">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c r="AA255" s="146"/>
    </row>
    <row r="256">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c r="AA256" s="146"/>
    </row>
    <row r="257">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c r="AA257" s="146"/>
    </row>
    <row r="258">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c r="AA258" s="146"/>
    </row>
    <row r="259">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c r="AA259" s="146"/>
    </row>
    <row r="260">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c r="AA260" s="146"/>
    </row>
    <row r="26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c r="AA261" s="146"/>
    </row>
    <row r="262">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c r="AA262" s="146"/>
    </row>
    <row r="263">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c r="AA263" s="146"/>
    </row>
    <row r="264">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c r="AA264" s="146"/>
    </row>
    <row r="265">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c r="AA265" s="146"/>
    </row>
    <row r="266">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c r="AA266" s="146"/>
    </row>
    <row r="267">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c r="AA267" s="146"/>
    </row>
    <row r="268">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c r="AA268" s="146"/>
    </row>
    <row r="269">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c r="AA269" s="146"/>
    </row>
    <row r="270">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c r="AA270" s="146"/>
    </row>
    <row r="27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c r="AA271" s="146"/>
    </row>
    <row r="272">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c r="AA272" s="146"/>
    </row>
    <row r="273">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c r="AA273" s="146"/>
    </row>
    <row r="274">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c r="AA274" s="146"/>
    </row>
    <row r="275">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c r="AA275" s="146"/>
    </row>
    <row r="276">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c r="AA276" s="146"/>
    </row>
    <row r="277">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c r="AA277" s="146"/>
    </row>
    <row r="278">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c r="AA278" s="146"/>
    </row>
    <row r="279">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c r="AA279" s="146"/>
    </row>
    <row r="280">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c r="AA280" s="146"/>
    </row>
    <row r="28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c r="AA281" s="146"/>
    </row>
    <row r="282">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c r="AA282" s="146"/>
    </row>
    <row r="283">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c r="AA283" s="146"/>
    </row>
    <row r="284">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c r="AA284" s="146"/>
    </row>
    <row r="285">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c r="AA285" s="146"/>
    </row>
    <row r="286">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c r="AA286" s="146"/>
    </row>
    <row r="287">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c r="AA287" s="146"/>
    </row>
    <row r="288">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c r="AA288" s="146"/>
    </row>
    <row r="289">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c r="AA289" s="146"/>
    </row>
    <row r="290">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c r="AA290" s="146"/>
    </row>
    <row r="29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c r="AA291" s="146"/>
    </row>
    <row r="292">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c r="AA292" s="146"/>
    </row>
    <row r="293">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c r="AA293" s="146"/>
    </row>
    <row r="294">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c r="AA294" s="146"/>
    </row>
    <row r="295">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c r="AA295" s="146"/>
    </row>
    <row r="296">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c r="AA296" s="146"/>
    </row>
    <row r="297">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c r="AA297" s="146"/>
    </row>
    <row r="298">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c r="AA298" s="146"/>
    </row>
    <row r="299">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c r="AA299" s="146"/>
    </row>
    <row r="300">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c r="AA300" s="146"/>
    </row>
    <row r="30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c r="AA301" s="146"/>
    </row>
    <row r="302">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c r="AA302" s="146"/>
    </row>
    <row r="303">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c r="AA303" s="146"/>
    </row>
    <row r="304">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c r="AA304" s="146"/>
    </row>
    <row r="305">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c r="AA305" s="146"/>
    </row>
    <row r="306">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c r="AA306" s="146"/>
    </row>
    <row r="307">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c r="AA307" s="146"/>
    </row>
    <row r="308">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c r="AA308" s="146"/>
    </row>
    <row r="309">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c r="AA309" s="146"/>
    </row>
    <row r="310">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c r="AA310" s="146"/>
    </row>
    <row r="31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c r="AA311" s="146"/>
    </row>
    <row r="312">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c r="AA312" s="146"/>
    </row>
    <row r="313">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c r="AA313" s="146"/>
    </row>
    <row r="314">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c r="AA314" s="146"/>
    </row>
    <row r="315">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c r="AA315" s="146"/>
    </row>
    <row r="316">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c r="AA316" s="146"/>
    </row>
    <row r="317">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c r="AA317" s="146"/>
    </row>
    <row r="318">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c r="AA318" s="146"/>
    </row>
    <row r="319">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c r="AA319" s="146"/>
    </row>
    <row r="320">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c r="AA320" s="146"/>
    </row>
    <row r="32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c r="AA321" s="146"/>
    </row>
    <row r="322">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c r="AA322" s="146"/>
    </row>
    <row r="323">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c r="AA323" s="146"/>
    </row>
    <row r="324">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c r="AA324" s="146"/>
    </row>
    <row r="325">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c r="AA325" s="146"/>
    </row>
    <row r="326">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c r="AA326" s="146"/>
    </row>
    <row r="327">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c r="AA327" s="146"/>
    </row>
    <row r="328">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c r="AA328" s="146"/>
    </row>
    <row r="329">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c r="AA329" s="146"/>
    </row>
    <row r="330">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c r="AA330" s="146"/>
    </row>
    <row r="33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c r="AA331" s="146"/>
    </row>
    <row r="332">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c r="AA332" s="146"/>
    </row>
    <row r="333">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c r="AA333" s="146"/>
    </row>
    <row r="334">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c r="AA334" s="146"/>
    </row>
    <row r="335">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c r="AA335" s="146"/>
    </row>
    <row r="336">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c r="AA336" s="146"/>
    </row>
    <row r="337">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row>
    <row r="338">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row>
    <row r="339">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c r="AA339" s="146"/>
    </row>
    <row r="340">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c r="AA340" s="146"/>
    </row>
    <row r="34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c r="AA341" s="146"/>
    </row>
    <row r="342">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c r="AA342" s="146"/>
    </row>
    <row r="343">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c r="AA343" s="146"/>
    </row>
    <row r="344">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c r="AA344" s="146"/>
    </row>
    <row r="345">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c r="AA345" s="146"/>
    </row>
    <row r="346">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c r="AA346" s="146"/>
    </row>
    <row r="347">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c r="AA347" s="146"/>
    </row>
    <row r="348">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c r="AA348" s="146"/>
    </row>
    <row r="349">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c r="AA349" s="146"/>
    </row>
    <row r="350">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c r="AA350" s="146"/>
    </row>
    <row r="35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c r="AA351" s="146"/>
    </row>
    <row r="352">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c r="AA352" s="146"/>
    </row>
    <row r="353">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c r="AA353" s="146"/>
    </row>
    <row r="354">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c r="AA354" s="146"/>
    </row>
    <row r="355">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c r="AA355" s="146"/>
    </row>
    <row r="356">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c r="AA356" s="146"/>
    </row>
    <row r="357">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c r="AA357" s="146"/>
    </row>
    <row r="358">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c r="AA358" s="146"/>
    </row>
    <row r="359">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c r="AA359" s="146"/>
    </row>
    <row r="360">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c r="AA360" s="146"/>
    </row>
    <row r="36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c r="AA361" s="146"/>
    </row>
    <row r="362">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c r="AA362" s="146"/>
    </row>
    <row r="363">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c r="AA363" s="146"/>
    </row>
    <row r="364">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c r="AA364" s="146"/>
    </row>
    <row r="365">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c r="AA365" s="146"/>
    </row>
    <row r="366">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c r="AA366" s="146"/>
    </row>
    <row r="367">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c r="AA367" s="146"/>
    </row>
    <row r="368">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c r="AA368" s="146"/>
    </row>
    <row r="369">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c r="AA369" s="146"/>
    </row>
    <row r="370">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c r="AA370" s="146"/>
    </row>
    <row r="37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c r="AA371" s="146"/>
    </row>
    <row r="372">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c r="AA372" s="146"/>
    </row>
    <row r="373">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c r="AA373" s="146"/>
    </row>
    <row r="374">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c r="AA374" s="146"/>
    </row>
    <row r="375">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c r="AA375" s="146"/>
    </row>
    <row r="376">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c r="AA376" s="146"/>
    </row>
    <row r="377">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c r="AA377" s="146"/>
    </row>
    <row r="378">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c r="AA378" s="146"/>
    </row>
    <row r="379">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c r="AA379" s="146"/>
    </row>
    <row r="380">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c r="AA380" s="146"/>
    </row>
    <row r="38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c r="AA381" s="146"/>
    </row>
    <row r="382">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c r="AA382" s="146"/>
    </row>
    <row r="383">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c r="AA383" s="146"/>
    </row>
    <row r="384">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c r="AA384" s="146"/>
    </row>
    <row r="385">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c r="AA385" s="146"/>
    </row>
    <row r="386">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c r="AA386" s="146"/>
    </row>
    <row r="387">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c r="AA387" s="146"/>
    </row>
    <row r="388">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c r="AA388" s="146"/>
    </row>
    <row r="389">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c r="AA389" s="146"/>
    </row>
    <row r="390">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c r="AA390" s="146"/>
    </row>
    <row r="39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c r="AA391" s="146"/>
    </row>
    <row r="392">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c r="AA392" s="146"/>
    </row>
    <row r="393">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c r="AA393" s="146"/>
    </row>
    <row r="394">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c r="AA394" s="146"/>
    </row>
    <row r="395">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c r="AA395" s="146"/>
    </row>
    <row r="396">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c r="AA396" s="146"/>
    </row>
    <row r="397">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c r="AA397" s="146"/>
    </row>
    <row r="398">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c r="AA398" s="146"/>
    </row>
    <row r="399">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c r="AA399" s="146"/>
    </row>
    <row r="400">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c r="AA400" s="146"/>
    </row>
    <row r="40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c r="AA401" s="146"/>
    </row>
    <row r="402">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c r="AA402" s="146"/>
    </row>
    <row r="403">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c r="AA403" s="146"/>
    </row>
    <row r="404">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c r="AA404" s="146"/>
    </row>
    <row r="405">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c r="AA405" s="146"/>
    </row>
    <row r="406">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c r="AA406" s="146"/>
    </row>
    <row r="407">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c r="AA407" s="146"/>
    </row>
    <row r="408">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c r="AA408" s="146"/>
    </row>
    <row r="409">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c r="AA409" s="146"/>
    </row>
    <row r="410">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c r="AA410" s="146"/>
    </row>
    <row r="41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c r="AA411" s="146"/>
    </row>
    <row r="412">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c r="AA412" s="146"/>
    </row>
    <row r="413">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c r="AA413" s="146"/>
    </row>
    <row r="414">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c r="AA414" s="146"/>
    </row>
    <row r="415">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c r="AA415" s="146"/>
    </row>
    <row r="416">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c r="AA416" s="146"/>
    </row>
    <row r="417">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c r="AA417" s="146"/>
    </row>
    <row r="418">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c r="AA418" s="146"/>
    </row>
    <row r="419">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c r="AA419" s="146"/>
    </row>
    <row r="420">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c r="AA420" s="146"/>
    </row>
    <row r="42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c r="AA421" s="146"/>
    </row>
    <row r="422">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c r="AA422" s="146"/>
    </row>
    <row r="423">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c r="AA423" s="146"/>
    </row>
    <row r="424">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c r="AA424" s="146"/>
    </row>
    <row r="425">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c r="AA425" s="146"/>
    </row>
    <row r="426">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c r="AA426" s="146"/>
    </row>
    <row r="427">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c r="AA427" s="146"/>
    </row>
    <row r="428">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c r="AA428" s="146"/>
    </row>
    <row r="429">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c r="AA429" s="146"/>
    </row>
    <row r="430">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c r="AA430" s="146"/>
    </row>
    <row r="43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c r="AA431" s="146"/>
    </row>
    <row r="432">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c r="AA432" s="146"/>
    </row>
    <row r="433">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c r="AA433" s="146"/>
    </row>
    <row r="434">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c r="AA434" s="146"/>
    </row>
    <row r="435">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c r="AA435" s="146"/>
    </row>
    <row r="436">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c r="AA436" s="146"/>
    </row>
    <row r="437">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c r="AA437" s="146"/>
    </row>
    <row r="438">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c r="AA438" s="146"/>
    </row>
    <row r="439">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c r="AA439" s="146"/>
    </row>
    <row r="440">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c r="AA440" s="146"/>
    </row>
    <row r="44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c r="AA441" s="146"/>
    </row>
    <row r="442">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c r="AA442" s="146"/>
    </row>
    <row r="443">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c r="AA443" s="146"/>
    </row>
    <row r="444">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c r="AA444" s="146"/>
    </row>
    <row r="445">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c r="AA445" s="146"/>
    </row>
    <row r="446">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c r="AA446" s="146"/>
    </row>
    <row r="447">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c r="AA447" s="146"/>
    </row>
    <row r="448">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c r="AA448" s="146"/>
    </row>
    <row r="449">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c r="AA449" s="146"/>
    </row>
    <row r="450">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c r="AA450" s="146"/>
    </row>
    <row r="45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c r="AA451" s="146"/>
    </row>
    <row r="452">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c r="AA452" s="146"/>
    </row>
    <row r="453">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c r="AA453" s="146"/>
    </row>
    <row r="454">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c r="AA454" s="146"/>
    </row>
    <row r="455">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c r="AA455" s="146"/>
    </row>
    <row r="456">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c r="AA456" s="146"/>
    </row>
    <row r="457">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c r="AA457" s="146"/>
    </row>
    <row r="458">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c r="AA458" s="146"/>
    </row>
    <row r="459">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c r="AA459" s="146"/>
    </row>
    <row r="460">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c r="AA460" s="146"/>
    </row>
    <row r="46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c r="AA461" s="146"/>
    </row>
    <row r="462">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c r="AA462" s="146"/>
    </row>
    <row r="463">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c r="AA463" s="146"/>
    </row>
    <row r="464">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c r="AA464" s="146"/>
    </row>
    <row r="465">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c r="AA465" s="146"/>
    </row>
    <row r="466">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c r="AA466" s="146"/>
    </row>
    <row r="467">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c r="AA467" s="146"/>
    </row>
    <row r="468">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c r="AA468" s="146"/>
    </row>
    <row r="469">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c r="AA469" s="146"/>
    </row>
    <row r="470">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c r="AA470" s="146"/>
    </row>
    <row r="47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c r="AA471" s="146"/>
    </row>
    <row r="472">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c r="AA472" s="146"/>
    </row>
    <row r="473">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c r="AA473" s="146"/>
    </row>
    <row r="474">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c r="AA474" s="146"/>
    </row>
    <row r="475">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c r="AA475" s="146"/>
    </row>
    <row r="476">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c r="AA476" s="146"/>
    </row>
    <row r="477">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c r="AA477" s="146"/>
    </row>
    <row r="478">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c r="AA478" s="146"/>
    </row>
    <row r="479">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c r="AA479" s="146"/>
    </row>
    <row r="480">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c r="AA480" s="146"/>
    </row>
    <row r="48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c r="AA481" s="146"/>
    </row>
    <row r="482">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c r="AA482" s="146"/>
    </row>
    <row r="483">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c r="AA483" s="146"/>
    </row>
    <row r="484">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c r="AA484" s="146"/>
    </row>
    <row r="485">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c r="AA485" s="146"/>
    </row>
    <row r="486">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c r="AA486" s="146"/>
    </row>
    <row r="487">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c r="AA487" s="146"/>
    </row>
    <row r="488">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c r="AA488" s="146"/>
    </row>
    <row r="489">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c r="AA489" s="146"/>
    </row>
    <row r="490">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c r="AA490" s="146"/>
    </row>
    <row r="49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c r="AA491" s="146"/>
    </row>
    <row r="492">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c r="AA492" s="146"/>
    </row>
    <row r="493">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c r="AA493" s="146"/>
    </row>
    <row r="494">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c r="AA494" s="146"/>
    </row>
    <row r="495">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c r="AA495" s="146"/>
    </row>
    <row r="496">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c r="AA496" s="146"/>
    </row>
    <row r="497">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c r="AA497" s="146"/>
    </row>
    <row r="498">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c r="AA498" s="146"/>
    </row>
    <row r="499">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c r="AA499" s="146"/>
    </row>
    <row r="500">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c r="AA500" s="146"/>
    </row>
    <row r="50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c r="AA501" s="146"/>
    </row>
    <row r="502">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c r="AA502" s="146"/>
    </row>
    <row r="503">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c r="AA503" s="146"/>
    </row>
    <row r="504">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c r="AA504" s="146"/>
    </row>
    <row r="505">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c r="AA505" s="146"/>
    </row>
    <row r="506">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c r="AA506" s="146"/>
    </row>
    <row r="507">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c r="AA507" s="146"/>
    </row>
    <row r="508">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c r="AA508" s="146"/>
    </row>
    <row r="509">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c r="AA509" s="146"/>
    </row>
    <row r="510">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c r="AA510" s="146"/>
    </row>
    <row r="51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c r="AA511" s="146"/>
    </row>
    <row r="512">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row>
    <row r="513">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c r="AA513" s="146"/>
    </row>
    <row r="514">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c r="AA514" s="146"/>
    </row>
    <row r="515">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c r="AA515" s="146"/>
    </row>
    <row r="516">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c r="AA516" s="146"/>
    </row>
    <row r="517">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c r="AA517" s="146"/>
    </row>
    <row r="518">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c r="AA518" s="146"/>
    </row>
    <row r="519">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c r="AA519" s="146"/>
    </row>
    <row r="520">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c r="AA520" s="146"/>
    </row>
    <row r="52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c r="AA521" s="146"/>
    </row>
    <row r="522">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c r="AA522" s="146"/>
    </row>
    <row r="523">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c r="AA523" s="146"/>
    </row>
    <row r="524">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c r="AA524" s="146"/>
    </row>
    <row r="525">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c r="AA525" s="146"/>
    </row>
    <row r="526">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c r="AA526" s="146"/>
    </row>
    <row r="527">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c r="AA527" s="146"/>
    </row>
    <row r="528">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c r="AA528" s="146"/>
    </row>
    <row r="529">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c r="AA529" s="146"/>
    </row>
    <row r="530">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c r="AA530" s="146"/>
    </row>
    <row r="53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c r="AA531" s="146"/>
    </row>
    <row r="532">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c r="AA532" s="146"/>
    </row>
    <row r="533">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c r="AA533" s="146"/>
    </row>
    <row r="534">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c r="AA534" s="146"/>
    </row>
    <row r="535">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c r="AA535" s="146"/>
    </row>
    <row r="536">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c r="AA536" s="146"/>
    </row>
    <row r="537">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c r="AA537" s="146"/>
    </row>
    <row r="538">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c r="AA538" s="146"/>
    </row>
    <row r="539">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c r="AA539" s="146"/>
    </row>
    <row r="540">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c r="AA540" s="146"/>
    </row>
    <row r="54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c r="AA541" s="146"/>
    </row>
    <row r="542">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c r="AA542" s="146"/>
    </row>
    <row r="543">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c r="AA543" s="146"/>
    </row>
    <row r="544">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c r="AA544" s="146"/>
    </row>
    <row r="545">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c r="AA545" s="146"/>
    </row>
    <row r="546">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c r="AA546" s="146"/>
    </row>
    <row r="547">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c r="AA547" s="146"/>
    </row>
    <row r="548">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c r="AA548" s="146"/>
    </row>
    <row r="549">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c r="AA549" s="146"/>
    </row>
    <row r="550">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c r="AA550" s="146"/>
    </row>
    <row r="55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c r="AA551" s="146"/>
    </row>
    <row r="552">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c r="AA552" s="146"/>
    </row>
    <row r="553">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c r="AA553" s="146"/>
    </row>
    <row r="554">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c r="AA554" s="146"/>
    </row>
    <row r="555">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c r="AA555" s="146"/>
    </row>
    <row r="556">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c r="AA556" s="146"/>
    </row>
    <row r="557">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c r="AA557" s="146"/>
    </row>
    <row r="558">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c r="AA558" s="146"/>
    </row>
    <row r="559">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c r="AA559" s="146"/>
    </row>
    <row r="560">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c r="AA560" s="146"/>
    </row>
    <row r="56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c r="AA561" s="146"/>
    </row>
    <row r="562">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c r="AA562" s="146"/>
    </row>
    <row r="563">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c r="AA563" s="146"/>
    </row>
    <row r="564">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c r="AA564" s="146"/>
    </row>
    <row r="565">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c r="AA565" s="146"/>
    </row>
    <row r="566">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c r="AA566" s="146"/>
    </row>
    <row r="567">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c r="AA567" s="146"/>
    </row>
    <row r="568">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c r="AA568" s="146"/>
    </row>
    <row r="569">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c r="AA569" s="146"/>
    </row>
    <row r="570">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c r="AA570" s="146"/>
    </row>
    <row r="57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c r="AA571" s="146"/>
    </row>
    <row r="572">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c r="AA572" s="146"/>
    </row>
    <row r="573">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c r="AA573" s="146"/>
    </row>
    <row r="574">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c r="AA574" s="146"/>
    </row>
    <row r="575">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c r="AA575" s="146"/>
    </row>
    <row r="576">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c r="AA576" s="146"/>
    </row>
    <row r="577">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c r="AA577" s="146"/>
    </row>
    <row r="578">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c r="AA578" s="146"/>
    </row>
    <row r="579">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c r="AA579" s="146"/>
    </row>
    <row r="580">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c r="AA580" s="146"/>
    </row>
    <row r="58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c r="AA581" s="146"/>
    </row>
    <row r="582">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c r="AA582" s="146"/>
    </row>
    <row r="583">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c r="AA583" s="146"/>
    </row>
    <row r="584">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c r="AA584" s="146"/>
    </row>
    <row r="585">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c r="AA585" s="146"/>
    </row>
    <row r="586">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c r="AA586" s="146"/>
    </row>
    <row r="587">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c r="AA587" s="146"/>
    </row>
    <row r="588">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c r="AA588" s="146"/>
    </row>
    <row r="589">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c r="AA589" s="146"/>
    </row>
    <row r="590">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c r="AA590" s="146"/>
    </row>
    <row r="59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c r="AA591" s="146"/>
    </row>
    <row r="592">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c r="AA592" s="146"/>
    </row>
    <row r="593">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c r="AA593" s="146"/>
    </row>
    <row r="594">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c r="AA594" s="146"/>
    </row>
    <row r="59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c r="AA595" s="146"/>
    </row>
    <row r="596">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c r="AA596" s="146"/>
    </row>
    <row r="597">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c r="AA597" s="146"/>
    </row>
    <row r="598">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c r="AA598" s="146"/>
    </row>
    <row r="599">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c r="AA599" s="146"/>
    </row>
    <row r="600">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c r="AA600" s="146"/>
    </row>
    <row r="60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c r="AA601" s="146"/>
    </row>
    <row r="602">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c r="AA602" s="146"/>
    </row>
    <row r="603">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c r="AA603" s="146"/>
    </row>
    <row r="604">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c r="AA604" s="146"/>
    </row>
    <row r="605">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c r="AA605" s="146"/>
    </row>
    <row r="606">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c r="AA606" s="146"/>
    </row>
    <row r="607">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c r="AA607" s="146"/>
    </row>
    <row r="608">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c r="AA608" s="146"/>
    </row>
    <row r="609">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c r="AA609" s="146"/>
    </row>
    <row r="610">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c r="AA610" s="146"/>
    </row>
    <row r="61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c r="AA611" s="146"/>
    </row>
    <row r="612">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c r="AA612" s="146"/>
    </row>
    <row r="613">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c r="AA613" s="146"/>
    </row>
    <row r="614">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c r="AA614" s="146"/>
    </row>
    <row r="615">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c r="AA615" s="146"/>
    </row>
    <row r="616">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c r="AA616" s="146"/>
    </row>
    <row r="617">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c r="AA617" s="146"/>
    </row>
    <row r="618">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c r="AA618" s="146"/>
    </row>
    <row r="619">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c r="AA619" s="146"/>
    </row>
    <row r="620">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c r="AA620" s="146"/>
    </row>
    <row r="62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c r="AA621" s="146"/>
    </row>
    <row r="622">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c r="AA622" s="146"/>
    </row>
    <row r="623">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c r="AA623" s="146"/>
    </row>
    <row r="624">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c r="AA624" s="146"/>
    </row>
    <row r="625">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c r="AA625" s="146"/>
    </row>
    <row r="626">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c r="AA626" s="146"/>
    </row>
    <row r="627">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c r="AA627" s="146"/>
    </row>
    <row r="628">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c r="AA628" s="146"/>
    </row>
    <row r="629">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c r="AA629" s="146"/>
    </row>
    <row r="630">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c r="AA630" s="146"/>
    </row>
    <row r="63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c r="AA631" s="146"/>
    </row>
    <row r="632">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c r="AA632" s="146"/>
    </row>
    <row r="633">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c r="AA633" s="146"/>
    </row>
    <row r="634">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c r="AA634" s="146"/>
    </row>
    <row r="635">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c r="AA635" s="146"/>
    </row>
    <row r="636">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c r="AA636" s="146"/>
    </row>
    <row r="637">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c r="AA637" s="146"/>
    </row>
    <row r="638">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c r="AA638" s="146"/>
    </row>
    <row r="639">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c r="AA639" s="146"/>
    </row>
    <row r="640">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c r="AA640" s="146"/>
    </row>
    <row r="64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c r="AA641" s="146"/>
    </row>
    <row r="642">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c r="AA642" s="146"/>
    </row>
    <row r="643">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c r="AA643" s="146"/>
    </row>
    <row r="644">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c r="AA644" s="146"/>
    </row>
    <row r="645">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c r="AA645" s="146"/>
    </row>
    <row r="646">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c r="AA646" s="146"/>
    </row>
    <row r="647">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c r="AA647" s="146"/>
    </row>
    <row r="648">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c r="AA648" s="146"/>
    </row>
    <row r="649">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c r="AA649" s="146"/>
    </row>
    <row r="650">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c r="AA650" s="146"/>
    </row>
    <row r="65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c r="AA651" s="146"/>
    </row>
    <row r="652">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c r="AA652" s="146"/>
    </row>
    <row r="653">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c r="AA653" s="146"/>
    </row>
    <row r="654">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c r="AA654" s="146"/>
    </row>
    <row r="655">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c r="AA655" s="146"/>
    </row>
    <row r="656">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c r="AA656" s="146"/>
    </row>
    <row r="657">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c r="AA657" s="146"/>
    </row>
    <row r="658">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c r="AA658" s="146"/>
    </row>
    <row r="659">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c r="AA659" s="146"/>
    </row>
    <row r="660">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c r="AA660" s="146"/>
    </row>
    <row r="66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c r="AA661" s="146"/>
    </row>
    <row r="662">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c r="AA662" s="146"/>
    </row>
    <row r="663">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c r="AA663" s="146"/>
    </row>
    <row r="664">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c r="AA664" s="146"/>
    </row>
    <row r="665">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c r="AA665" s="146"/>
    </row>
    <row r="666">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c r="AA666" s="146"/>
    </row>
    <row r="667">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c r="AA667" s="146"/>
    </row>
    <row r="668">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c r="AA668" s="146"/>
    </row>
    <row r="669">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c r="AA669" s="146"/>
    </row>
    <row r="670">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c r="AA670" s="146"/>
    </row>
    <row r="67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c r="AA671" s="146"/>
    </row>
    <row r="672">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c r="AA672" s="146"/>
    </row>
    <row r="673">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c r="AA673" s="146"/>
    </row>
    <row r="674">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c r="AA674" s="146"/>
    </row>
    <row r="675">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c r="AA675" s="146"/>
    </row>
    <row r="676">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c r="AA676" s="146"/>
    </row>
    <row r="677">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c r="AA677" s="146"/>
    </row>
    <row r="678">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c r="AA678" s="146"/>
    </row>
    <row r="679">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c r="AA679" s="146"/>
    </row>
    <row r="680">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c r="AA680" s="146"/>
    </row>
    <row r="68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c r="AA681" s="146"/>
    </row>
    <row r="682">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c r="AA682" s="146"/>
    </row>
    <row r="683">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c r="AA683" s="146"/>
    </row>
    <row r="684">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c r="AA684" s="146"/>
    </row>
    <row r="685">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c r="AA685" s="146"/>
    </row>
    <row r="686">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c r="AA686" s="146"/>
    </row>
    <row r="687">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c r="AA687" s="146"/>
    </row>
    <row r="688">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c r="AA688" s="146"/>
    </row>
    <row r="689">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c r="AA689" s="146"/>
    </row>
    <row r="690">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c r="AA690" s="146"/>
    </row>
    <row r="69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c r="AA691" s="146"/>
    </row>
    <row r="692">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c r="AA692" s="146"/>
    </row>
    <row r="693">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c r="AA693" s="146"/>
    </row>
    <row r="694">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c r="AA694" s="146"/>
    </row>
    <row r="695">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c r="AA695" s="146"/>
    </row>
    <row r="696">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c r="AA696" s="146"/>
    </row>
    <row r="697">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c r="AA697" s="146"/>
    </row>
    <row r="698">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c r="AA698" s="146"/>
    </row>
    <row r="699">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c r="AA699" s="146"/>
    </row>
    <row r="700">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c r="AA700" s="146"/>
    </row>
    <row r="70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c r="AA701" s="146"/>
    </row>
    <row r="702">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c r="AA702" s="146"/>
    </row>
    <row r="703">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c r="AA703" s="146"/>
    </row>
    <row r="704">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c r="AA704" s="146"/>
    </row>
    <row r="705">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c r="AA705" s="146"/>
    </row>
    <row r="706">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c r="AA706" s="146"/>
    </row>
    <row r="707">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c r="AA707" s="146"/>
    </row>
    <row r="708">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c r="AA708" s="146"/>
    </row>
    <row r="709">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c r="AA709" s="146"/>
    </row>
    <row r="710">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c r="AA710" s="146"/>
    </row>
    <row r="71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c r="AA711" s="146"/>
    </row>
    <row r="712">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c r="AA712" s="146"/>
    </row>
    <row r="713">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c r="AA713" s="146"/>
    </row>
    <row r="714">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c r="AA714" s="146"/>
    </row>
    <row r="715">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c r="AA715" s="146"/>
    </row>
    <row r="716">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c r="AA716" s="146"/>
    </row>
    <row r="717">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c r="AA717" s="146"/>
    </row>
    <row r="718">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c r="AA718" s="146"/>
    </row>
    <row r="719">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c r="AA719" s="146"/>
    </row>
    <row r="720">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c r="AA720" s="146"/>
    </row>
    <row r="72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c r="AA721" s="146"/>
    </row>
    <row r="722">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c r="AA722" s="146"/>
    </row>
    <row r="723">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c r="AA723" s="146"/>
    </row>
    <row r="724">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c r="AA724" s="146"/>
    </row>
    <row r="725">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c r="AA725" s="146"/>
    </row>
    <row r="726">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c r="AA726" s="146"/>
    </row>
    <row r="727">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c r="AA727" s="146"/>
    </row>
    <row r="728">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c r="AA728" s="146"/>
    </row>
    <row r="729">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c r="AA729" s="146"/>
    </row>
    <row r="730">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c r="AA730" s="146"/>
    </row>
    <row r="73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c r="AA731" s="146"/>
    </row>
    <row r="732">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c r="AA732" s="146"/>
    </row>
    <row r="733">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c r="AA733" s="146"/>
    </row>
    <row r="734">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c r="AA734" s="146"/>
    </row>
    <row r="735">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c r="AA735" s="146"/>
    </row>
    <row r="736">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c r="AA736" s="146"/>
    </row>
    <row r="737">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c r="AA737" s="146"/>
    </row>
    <row r="738">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c r="AA738" s="146"/>
    </row>
    <row r="739">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c r="AA739" s="146"/>
    </row>
    <row r="740">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c r="AA740" s="146"/>
    </row>
    <row r="74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c r="AA741" s="146"/>
    </row>
    <row r="742">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c r="AA742" s="146"/>
    </row>
    <row r="743">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c r="AA743" s="146"/>
    </row>
    <row r="744">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c r="AA744" s="146"/>
    </row>
    <row r="745">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c r="AA745" s="146"/>
    </row>
    <row r="746">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c r="AA746" s="146"/>
    </row>
    <row r="747">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c r="AA747" s="146"/>
    </row>
    <row r="748">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c r="AA748" s="146"/>
    </row>
    <row r="749">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c r="AA749" s="146"/>
    </row>
    <row r="750">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c r="AA750" s="146"/>
    </row>
    <row r="75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c r="AA751" s="146"/>
    </row>
    <row r="752">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c r="AA752" s="146"/>
    </row>
    <row r="753">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c r="AA753" s="146"/>
    </row>
    <row r="754">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c r="AA754" s="146"/>
    </row>
    <row r="755">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c r="AA755" s="146"/>
    </row>
    <row r="756">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c r="AA756" s="146"/>
    </row>
    <row r="757">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c r="AA757" s="146"/>
    </row>
    <row r="758">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c r="AA758" s="146"/>
    </row>
    <row r="759">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c r="AA759" s="146"/>
    </row>
    <row r="760">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c r="AA760" s="146"/>
    </row>
    <row r="76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c r="AA761" s="146"/>
    </row>
    <row r="762">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c r="AA762" s="146"/>
    </row>
    <row r="763">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c r="AA763" s="146"/>
    </row>
    <row r="764">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c r="AA764" s="146"/>
    </row>
    <row r="765">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c r="AA765" s="146"/>
    </row>
    <row r="766">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c r="AA766" s="146"/>
    </row>
    <row r="767">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c r="AA767" s="146"/>
    </row>
    <row r="768">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c r="AA768" s="146"/>
    </row>
    <row r="769">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c r="AA769" s="146"/>
    </row>
    <row r="770">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c r="AA770" s="146"/>
    </row>
    <row r="77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c r="AA771" s="146"/>
    </row>
    <row r="772">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c r="AA772" s="146"/>
    </row>
    <row r="773">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c r="AA773" s="146"/>
    </row>
    <row r="774">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c r="AA774" s="146"/>
    </row>
    <row r="775">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c r="AA775" s="146"/>
    </row>
    <row r="776">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c r="AA776" s="146"/>
    </row>
    <row r="777">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c r="AA777" s="146"/>
    </row>
    <row r="778">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c r="AA778" s="146"/>
    </row>
    <row r="779">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c r="AA779" s="146"/>
    </row>
    <row r="780">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c r="AA780" s="146"/>
    </row>
    <row r="78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c r="AA781" s="146"/>
    </row>
    <row r="782">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c r="AA782" s="146"/>
    </row>
    <row r="783">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c r="AA783" s="146"/>
    </row>
    <row r="784">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c r="AA784" s="146"/>
    </row>
    <row r="785">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c r="AA785" s="146"/>
    </row>
    <row r="786">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c r="AA786" s="146"/>
    </row>
    <row r="787">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c r="AA787" s="146"/>
    </row>
    <row r="788">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c r="AA788" s="146"/>
    </row>
    <row r="789">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c r="AA789" s="146"/>
    </row>
    <row r="790">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c r="AA790" s="146"/>
    </row>
    <row r="79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c r="AA791" s="146"/>
    </row>
    <row r="792">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c r="AA792" s="146"/>
    </row>
    <row r="793">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c r="AA793" s="146"/>
    </row>
    <row r="794">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c r="AA794" s="146"/>
    </row>
    <row r="795">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c r="AA795" s="146"/>
    </row>
    <row r="796">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c r="AA796" s="146"/>
    </row>
    <row r="797">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c r="AA797" s="146"/>
    </row>
    <row r="798">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c r="AA798" s="146"/>
    </row>
    <row r="799">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c r="AA799" s="146"/>
    </row>
    <row r="800">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c r="AA800" s="146"/>
    </row>
    <row r="80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c r="AA801" s="146"/>
    </row>
    <row r="802">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c r="AA802" s="146"/>
    </row>
    <row r="803">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c r="AA803" s="146"/>
    </row>
    <row r="804">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c r="AA804" s="146"/>
    </row>
    <row r="805">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c r="AA805" s="146"/>
    </row>
    <row r="806">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c r="AA806" s="146"/>
    </row>
    <row r="807">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c r="AA807" s="146"/>
    </row>
    <row r="808">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c r="AA808" s="146"/>
    </row>
    <row r="809">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c r="AA809" s="146"/>
    </row>
    <row r="810">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c r="AA810" s="146"/>
    </row>
    <row r="81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c r="AA811" s="146"/>
    </row>
    <row r="812">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c r="AA812" s="146"/>
    </row>
    <row r="813">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c r="AA813" s="146"/>
    </row>
    <row r="814">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c r="AA814" s="146"/>
    </row>
    <row r="815">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c r="AA815" s="146"/>
    </row>
    <row r="816">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c r="AA816" s="146"/>
    </row>
    <row r="817">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c r="AA817" s="146"/>
    </row>
    <row r="818">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c r="AA818" s="146"/>
    </row>
    <row r="819">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c r="AA819" s="146"/>
    </row>
    <row r="820">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c r="AA820" s="146"/>
    </row>
    <row r="82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c r="AA821" s="146"/>
    </row>
    <row r="822">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c r="AA822" s="146"/>
    </row>
    <row r="823">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c r="AA823" s="146"/>
    </row>
    <row r="824">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c r="AA824" s="146"/>
    </row>
    <row r="825">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c r="AA825" s="146"/>
    </row>
    <row r="826">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c r="AA826" s="146"/>
    </row>
    <row r="827">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c r="AA827" s="146"/>
    </row>
    <row r="828">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c r="AA828" s="146"/>
    </row>
    <row r="829">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c r="AA829" s="146"/>
    </row>
    <row r="830">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c r="AA830" s="146"/>
    </row>
    <row r="83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c r="AA831" s="146"/>
    </row>
    <row r="832">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c r="AA832" s="146"/>
    </row>
    <row r="833">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c r="AA833" s="146"/>
    </row>
    <row r="834">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c r="AA834" s="146"/>
    </row>
    <row r="835">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c r="AA835" s="146"/>
    </row>
    <row r="836">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c r="AA836" s="146"/>
    </row>
    <row r="837">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c r="AA837" s="146"/>
    </row>
    <row r="838">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c r="AA838" s="146"/>
    </row>
    <row r="839">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c r="AA839" s="146"/>
    </row>
    <row r="840">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c r="AA840" s="146"/>
    </row>
    <row r="84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c r="AA841" s="146"/>
    </row>
    <row r="842">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c r="AA842" s="146"/>
    </row>
    <row r="843">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c r="AA843" s="146"/>
    </row>
    <row r="844">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c r="AA844" s="146"/>
    </row>
    <row r="845">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c r="AA845" s="146"/>
    </row>
    <row r="846">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c r="AA846" s="146"/>
    </row>
    <row r="847">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c r="AA847" s="146"/>
    </row>
    <row r="848">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c r="AA848" s="146"/>
    </row>
    <row r="849">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c r="AA849" s="146"/>
    </row>
    <row r="850">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c r="AA850" s="146"/>
    </row>
    <row r="85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c r="AA851" s="146"/>
    </row>
    <row r="852">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c r="AA852" s="146"/>
    </row>
    <row r="853">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c r="AA853" s="146"/>
    </row>
    <row r="854">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c r="AA854" s="146"/>
    </row>
    <row r="855">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c r="AA855" s="146"/>
    </row>
    <row r="856">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c r="AA856" s="146"/>
    </row>
    <row r="857">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c r="AA857" s="146"/>
    </row>
    <row r="858">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c r="AA858" s="146"/>
    </row>
    <row r="859">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c r="AA859" s="146"/>
    </row>
    <row r="860">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c r="AA860" s="146"/>
    </row>
    <row r="86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c r="AA861" s="146"/>
    </row>
    <row r="862">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c r="AA862" s="146"/>
    </row>
    <row r="863">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c r="AA863" s="146"/>
    </row>
    <row r="864">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c r="AA864" s="146"/>
    </row>
    <row r="865">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c r="AA865" s="146"/>
    </row>
    <row r="866">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c r="AA866" s="146"/>
    </row>
    <row r="867">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c r="AA867" s="146"/>
    </row>
    <row r="868">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c r="AA868" s="146"/>
    </row>
    <row r="869">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c r="AA869" s="146"/>
    </row>
    <row r="870">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c r="AA870" s="146"/>
    </row>
    <row r="87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c r="AA871" s="146"/>
    </row>
    <row r="872">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c r="AA872" s="146"/>
    </row>
    <row r="873">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c r="AA873" s="146"/>
    </row>
    <row r="874">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c r="AA874" s="146"/>
    </row>
    <row r="875">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c r="AA875" s="146"/>
    </row>
    <row r="876">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c r="AA876" s="146"/>
    </row>
    <row r="877">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c r="AA877" s="146"/>
    </row>
    <row r="878">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c r="AA878" s="146"/>
    </row>
    <row r="879">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c r="AA879" s="146"/>
    </row>
    <row r="880">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c r="AA880" s="146"/>
    </row>
    <row r="88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c r="AA881" s="146"/>
    </row>
    <row r="882">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c r="AA882" s="146"/>
    </row>
    <row r="883">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c r="AA883" s="146"/>
    </row>
    <row r="884">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c r="AA884" s="146"/>
    </row>
    <row r="885">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c r="AA885" s="146"/>
    </row>
    <row r="886">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c r="AA886" s="146"/>
    </row>
    <row r="887">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c r="AA887" s="146"/>
    </row>
    <row r="888">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c r="AA888" s="146"/>
    </row>
    <row r="889">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c r="AA889" s="146"/>
    </row>
    <row r="890">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c r="AA890" s="146"/>
    </row>
    <row r="89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c r="AA891" s="146"/>
    </row>
    <row r="892">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c r="AA892" s="146"/>
    </row>
    <row r="893">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c r="AA893" s="146"/>
    </row>
    <row r="894">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c r="AA894" s="146"/>
    </row>
    <row r="895">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c r="AA895" s="146"/>
    </row>
    <row r="896">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c r="AA896" s="146"/>
    </row>
    <row r="897">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c r="AA897" s="146"/>
    </row>
    <row r="898">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c r="AA898" s="146"/>
    </row>
    <row r="899">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c r="AA899" s="146"/>
    </row>
    <row r="900">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c r="AA900" s="146"/>
    </row>
    <row r="90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c r="AA901" s="146"/>
    </row>
    <row r="902">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c r="AA902" s="146"/>
    </row>
    <row r="903">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c r="AA903" s="146"/>
    </row>
    <row r="904">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c r="AA904" s="146"/>
    </row>
    <row r="905">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c r="AA905" s="146"/>
    </row>
    <row r="906">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c r="AA906" s="146"/>
    </row>
    <row r="907">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c r="AA907" s="146"/>
    </row>
    <row r="908">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c r="AA908" s="146"/>
    </row>
    <row r="909">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c r="AA909" s="146"/>
    </row>
    <row r="910">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c r="AA910" s="146"/>
    </row>
    <row r="91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c r="AA911" s="146"/>
    </row>
    <row r="912">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c r="AA912" s="146"/>
    </row>
    <row r="913">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c r="AA913" s="146"/>
    </row>
    <row r="914">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c r="AA914" s="146"/>
    </row>
    <row r="915">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c r="AA915" s="146"/>
    </row>
    <row r="916">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c r="AA916" s="146"/>
    </row>
    <row r="917">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c r="AA917" s="146"/>
    </row>
    <row r="918">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c r="AA918" s="146"/>
    </row>
    <row r="919">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c r="AA919" s="146"/>
    </row>
    <row r="920">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c r="AA920" s="146"/>
    </row>
    <row r="92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c r="AA921" s="146"/>
    </row>
    <row r="922">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c r="AA922" s="146"/>
    </row>
    <row r="923">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c r="AA923" s="146"/>
    </row>
    <row r="924">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c r="AA924" s="146"/>
    </row>
    <row r="925">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c r="AA925" s="146"/>
    </row>
    <row r="926">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c r="AA926" s="146"/>
    </row>
    <row r="927">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c r="AA927" s="146"/>
    </row>
    <row r="928">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c r="AA928" s="146"/>
    </row>
    <row r="929">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c r="AA929" s="146"/>
    </row>
    <row r="930">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c r="AA930" s="146"/>
    </row>
    <row r="93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c r="AA931" s="146"/>
    </row>
    <row r="932">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c r="AA932" s="146"/>
    </row>
    <row r="933">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c r="AA933" s="146"/>
    </row>
    <row r="934">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c r="AA934" s="146"/>
    </row>
    <row r="935">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c r="AA935" s="146"/>
    </row>
    <row r="936">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c r="AA936" s="146"/>
    </row>
    <row r="937">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c r="AA937" s="146"/>
    </row>
    <row r="938">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c r="AA938" s="146"/>
    </row>
    <row r="939">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c r="AA939" s="146"/>
    </row>
    <row r="940">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c r="AA940" s="146"/>
    </row>
    <row r="94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c r="AA941" s="146"/>
    </row>
    <row r="942">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c r="AA942" s="146"/>
    </row>
    <row r="943">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c r="AA943" s="146"/>
    </row>
    <row r="944">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c r="AA944" s="146"/>
    </row>
    <row r="945">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c r="AA945" s="146"/>
    </row>
    <row r="946">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c r="AA946" s="146"/>
    </row>
    <row r="947">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c r="AA947" s="146"/>
    </row>
    <row r="948">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c r="AA948" s="146"/>
    </row>
    <row r="949">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c r="AA949" s="146"/>
    </row>
    <row r="950">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c r="AA950" s="146"/>
    </row>
    <row r="95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c r="AA951" s="146"/>
    </row>
    <row r="952">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c r="AA952" s="146"/>
    </row>
    <row r="953">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c r="AA953" s="146"/>
    </row>
    <row r="954">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c r="AA954" s="146"/>
    </row>
    <row r="955">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c r="AA955" s="146"/>
    </row>
    <row r="956">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c r="AA956" s="146"/>
    </row>
    <row r="957">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c r="AA957" s="146"/>
    </row>
    <row r="958">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c r="AA958" s="146"/>
    </row>
    <row r="959">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c r="AA959" s="146"/>
    </row>
    <row r="960">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c r="AA960" s="146"/>
    </row>
    <row r="96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c r="AA961" s="146"/>
    </row>
    <row r="962">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c r="AA962" s="146"/>
    </row>
    <row r="963">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c r="AA963" s="146"/>
    </row>
    <row r="964">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c r="AA964" s="146"/>
    </row>
    <row r="965">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c r="AA965" s="146"/>
    </row>
    <row r="966">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c r="AA966" s="146"/>
    </row>
    <row r="967">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c r="AA967" s="146"/>
    </row>
    <row r="968">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c r="AA968" s="146"/>
    </row>
    <row r="969">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c r="AA969" s="146"/>
    </row>
    <row r="970">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c r="AA970" s="146"/>
    </row>
    <row r="97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c r="AA971" s="146"/>
    </row>
    <row r="972">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c r="AA972" s="146"/>
    </row>
    <row r="973">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c r="AA973" s="146"/>
    </row>
    <row r="974">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c r="AA974" s="146"/>
    </row>
    <row r="975">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c r="AA975" s="146"/>
    </row>
    <row r="976">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c r="AA976" s="146"/>
    </row>
    <row r="977">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c r="AA977" s="146"/>
    </row>
    <row r="978">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c r="AA978" s="146"/>
    </row>
    <row r="979">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c r="AA979" s="146"/>
    </row>
    <row r="980">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c r="AA980" s="146"/>
    </row>
    <row r="98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c r="AA981" s="146"/>
    </row>
    <row r="982">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c r="AA982" s="146"/>
    </row>
    <row r="983">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c r="AA983" s="146"/>
    </row>
    <row r="984">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c r="AA984" s="146"/>
    </row>
    <row r="985">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c r="AA985" s="146"/>
    </row>
    <row r="986">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c r="AA986" s="146"/>
    </row>
    <row r="987">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c r="AA987" s="146"/>
    </row>
    <row r="988">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c r="AA988" s="146"/>
    </row>
    <row r="989">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c r="AA989" s="146"/>
    </row>
    <row r="990">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c r="AA990" s="146"/>
    </row>
    <row r="99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c r="AA991" s="146"/>
    </row>
    <row r="992">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c r="AA992" s="146"/>
    </row>
    <row r="993">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c r="AA993" s="146"/>
    </row>
    <row r="994">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c r="AA994" s="146"/>
    </row>
    <row r="995">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c r="AA995" s="146"/>
    </row>
    <row r="996">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c r="AA996" s="146"/>
    </row>
    <row r="997">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c r="AA997" s="146"/>
    </row>
    <row r="998">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6"/>
      <c r="AA998" s="146"/>
    </row>
    <row r="999">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6"/>
      <c r="AA999" s="146"/>
    </row>
    <row r="1000">
      <c r="A1000" s="146"/>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c r="AA1000" s="146"/>
    </row>
    <row r="1001">
      <c r="A1001" s="146"/>
      <c r="B1001" s="146"/>
      <c r="C1001" s="146"/>
      <c r="D1001" s="146"/>
      <c r="E1001" s="146"/>
      <c r="F1001" s="146"/>
      <c r="G1001" s="146"/>
      <c r="H1001" s="146"/>
      <c r="I1001" s="146"/>
      <c r="J1001" s="146"/>
      <c r="K1001" s="146"/>
      <c r="L1001" s="146"/>
      <c r="M1001" s="146"/>
      <c r="N1001" s="146"/>
      <c r="O1001" s="146"/>
      <c r="P1001" s="146"/>
      <c r="Q1001" s="146"/>
      <c r="R1001" s="146"/>
      <c r="S1001" s="146"/>
      <c r="T1001" s="146"/>
      <c r="U1001" s="146"/>
      <c r="V1001" s="146"/>
      <c r="W1001" s="146"/>
      <c r="X1001" s="146"/>
      <c r="Y1001" s="146"/>
      <c r="Z1001" s="146"/>
      <c r="AA1001" s="146"/>
    </row>
    <row r="1002">
      <c r="A1002" s="146"/>
      <c r="B1002" s="146"/>
      <c r="C1002" s="146"/>
      <c r="D1002" s="146"/>
      <c r="E1002" s="146"/>
      <c r="F1002" s="146"/>
      <c r="G1002" s="146"/>
      <c r="H1002" s="146"/>
      <c r="I1002" s="146"/>
      <c r="J1002" s="146"/>
      <c r="K1002" s="146"/>
      <c r="L1002" s="146"/>
      <c r="M1002" s="146"/>
      <c r="N1002" s="146"/>
      <c r="O1002" s="146"/>
      <c r="P1002" s="146"/>
      <c r="Q1002" s="146"/>
      <c r="R1002" s="146"/>
      <c r="S1002" s="146"/>
      <c r="T1002" s="146"/>
      <c r="U1002" s="146"/>
      <c r="V1002" s="146"/>
      <c r="W1002" s="146"/>
      <c r="X1002" s="146"/>
      <c r="Y1002" s="146"/>
      <c r="Z1002" s="146"/>
      <c r="AA1002" s="146"/>
    </row>
    <row r="1003">
      <c r="A1003" s="146"/>
      <c r="B1003" s="146"/>
      <c r="C1003" s="146"/>
      <c r="D1003" s="146"/>
      <c r="E1003" s="146"/>
      <c r="F1003" s="146"/>
      <c r="G1003" s="146"/>
      <c r="H1003" s="146"/>
      <c r="I1003" s="146"/>
      <c r="J1003" s="146"/>
      <c r="K1003" s="146"/>
      <c r="L1003" s="146"/>
      <c r="M1003" s="146"/>
      <c r="N1003" s="146"/>
      <c r="O1003" s="146"/>
      <c r="P1003" s="146"/>
      <c r="Q1003" s="146"/>
      <c r="R1003" s="146"/>
      <c r="S1003" s="146"/>
      <c r="T1003" s="146"/>
      <c r="U1003" s="146"/>
      <c r="V1003" s="146"/>
      <c r="W1003" s="146"/>
      <c r="X1003" s="146"/>
      <c r="Y1003" s="146"/>
      <c r="Z1003" s="146"/>
      <c r="AA1003" s="146"/>
    </row>
    <row r="1004">
      <c r="A1004" s="146"/>
      <c r="B1004" s="146"/>
      <c r="C1004" s="146"/>
      <c r="D1004" s="146"/>
      <c r="E1004" s="146"/>
      <c r="F1004" s="146"/>
      <c r="G1004" s="146"/>
      <c r="H1004" s="146"/>
      <c r="I1004" s="146"/>
      <c r="J1004" s="146"/>
      <c r="K1004" s="146"/>
      <c r="L1004" s="146"/>
      <c r="M1004" s="146"/>
      <c r="N1004" s="146"/>
      <c r="O1004" s="146"/>
      <c r="P1004" s="146"/>
      <c r="Q1004" s="146"/>
      <c r="R1004" s="146"/>
      <c r="S1004" s="146"/>
      <c r="T1004" s="146"/>
      <c r="U1004" s="146"/>
      <c r="V1004" s="146"/>
      <c r="W1004" s="146"/>
      <c r="X1004" s="146"/>
      <c r="Y1004" s="146"/>
      <c r="Z1004" s="146"/>
      <c r="AA1004" s="146"/>
    </row>
    <row r="1005">
      <c r="A1005" s="146"/>
      <c r="B1005" s="146"/>
      <c r="C1005" s="146"/>
      <c r="D1005" s="146"/>
      <c r="E1005" s="146"/>
      <c r="F1005" s="146"/>
      <c r="G1005" s="146"/>
      <c r="H1005" s="146"/>
      <c r="I1005" s="146"/>
      <c r="J1005" s="146"/>
      <c r="K1005" s="146"/>
      <c r="L1005" s="146"/>
      <c r="M1005" s="146"/>
      <c r="N1005" s="146"/>
      <c r="O1005" s="146"/>
      <c r="P1005" s="146"/>
      <c r="Q1005" s="146"/>
      <c r="R1005" s="146"/>
      <c r="S1005" s="146"/>
      <c r="T1005" s="146"/>
      <c r="U1005" s="146"/>
      <c r="V1005" s="146"/>
      <c r="W1005" s="146"/>
      <c r="X1005" s="146"/>
      <c r="Y1005" s="146"/>
      <c r="Z1005" s="146"/>
      <c r="AA1005" s="146"/>
    </row>
    <row r="1006">
      <c r="A1006" s="146"/>
      <c r="B1006" s="146"/>
      <c r="C1006" s="146"/>
      <c r="D1006" s="146"/>
      <c r="E1006" s="146"/>
      <c r="F1006" s="146"/>
      <c r="G1006" s="146"/>
      <c r="H1006" s="146"/>
      <c r="I1006" s="146"/>
      <c r="J1006" s="146"/>
      <c r="K1006" s="146"/>
      <c r="L1006" s="146"/>
      <c r="M1006" s="146"/>
      <c r="N1006" s="146"/>
      <c r="O1006" s="146"/>
      <c r="P1006" s="146"/>
      <c r="Q1006" s="146"/>
      <c r="R1006" s="146"/>
      <c r="S1006" s="146"/>
      <c r="T1006" s="146"/>
      <c r="U1006" s="146"/>
      <c r="V1006" s="146"/>
      <c r="W1006" s="146"/>
      <c r="X1006" s="146"/>
      <c r="Y1006" s="146"/>
      <c r="Z1006" s="146"/>
      <c r="AA1006" s="146"/>
    </row>
    <row r="1007">
      <c r="A1007" s="146"/>
      <c r="B1007" s="146"/>
      <c r="C1007" s="146"/>
      <c r="D1007" s="146"/>
      <c r="E1007" s="146"/>
      <c r="F1007" s="146"/>
      <c r="G1007" s="146"/>
      <c r="H1007" s="146"/>
      <c r="I1007" s="146"/>
      <c r="J1007" s="146"/>
      <c r="K1007" s="146"/>
      <c r="L1007" s="146"/>
      <c r="M1007" s="146"/>
      <c r="N1007" s="146"/>
      <c r="O1007" s="146"/>
      <c r="P1007" s="146"/>
      <c r="Q1007" s="146"/>
      <c r="R1007" s="146"/>
      <c r="S1007" s="146"/>
      <c r="T1007" s="146"/>
      <c r="U1007" s="146"/>
      <c r="V1007" s="146"/>
      <c r="W1007" s="146"/>
      <c r="X1007" s="146"/>
      <c r="Y1007" s="146"/>
      <c r="Z1007" s="146"/>
      <c r="AA1007" s="146"/>
    </row>
    <row r="1008">
      <c r="A1008" s="146"/>
      <c r="B1008" s="146"/>
      <c r="C1008" s="146"/>
      <c r="D1008" s="146"/>
      <c r="E1008" s="146"/>
      <c r="F1008" s="146"/>
      <c r="G1008" s="146"/>
      <c r="H1008" s="146"/>
      <c r="I1008" s="146"/>
      <c r="J1008" s="146"/>
      <c r="K1008" s="146"/>
      <c r="L1008" s="146"/>
      <c r="M1008" s="146"/>
      <c r="N1008" s="146"/>
      <c r="O1008" s="146"/>
      <c r="P1008" s="146"/>
      <c r="Q1008" s="146"/>
      <c r="R1008" s="146"/>
      <c r="S1008" s="146"/>
      <c r="T1008" s="146"/>
      <c r="U1008" s="146"/>
      <c r="V1008" s="146"/>
      <c r="W1008" s="146"/>
      <c r="X1008" s="146"/>
      <c r="Y1008" s="146"/>
      <c r="Z1008" s="146"/>
      <c r="AA1008" s="146"/>
    </row>
    <row r="1009">
      <c r="A1009" s="146"/>
      <c r="B1009" s="146"/>
      <c r="C1009" s="146"/>
      <c r="D1009" s="146"/>
      <c r="E1009" s="146"/>
      <c r="F1009" s="146"/>
      <c r="G1009" s="146"/>
      <c r="H1009" s="146"/>
      <c r="I1009" s="146"/>
      <c r="J1009" s="146"/>
      <c r="K1009" s="146"/>
      <c r="L1009" s="146"/>
      <c r="M1009" s="146"/>
      <c r="N1009" s="146"/>
      <c r="O1009" s="146"/>
      <c r="P1009" s="146"/>
      <c r="Q1009" s="146"/>
      <c r="R1009" s="146"/>
      <c r="S1009" s="146"/>
      <c r="T1009" s="146"/>
      <c r="U1009" s="146"/>
      <c r="V1009" s="146"/>
      <c r="W1009" s="146"/>
      <c r="X1009" s="146"/>
      <c r="Y1009" s="146"/>
      <c r="Z1009" s="146"/>
      <c r="AA1009" s="146"/>
    </row>
    <row r="1010">
      <c r="A1010" s="146"/>
      <c r="B1010" s="146"/>
      <c r="C1010" s="146"/>
      <c r="D1010" s="146"/>
      <c r="E1010" s="146"/>
      <c r="F1010" s="146"/>
      <c r="G1010" s="146"/>
      <c r="H1010" s="146"/>
      <c r="I1010" s="146"/>
      <c r="J1010" s="146"/>
      <c r="K1010" s="146"/>
      <c r="L1010" s="146"/>
      <c r="M1010" s="146"/>
      <c r="N1010" s="146"/>
      <c r="O1010" s="146"/>
      <c r="P1010" s="146"/>
      <c r="Q1010" s="146"/>
      <c r="R1010" s="146"/>
      <c r="S1010" s="146"/>
      <c r="T1010" s="146"/>
      <c r="U1010" s="146"/>
      <c r="V1010" s="146"/>
      <c r="W1010" s="146"/>
      <c r="X1010" s="146"/>
      <c r="Y1010" s="146"/>
      <c r="Z1010" s="146"/>
      <c r="AA1010" s="146"/>
    </row>
    <row r="1011">
      <c r="A1011" s="146"/>
      <c r="B1011" s="146"/>
      <c r="C1011" s="146"/>
      <c r="D1011" s="146"/>
      <c r="E1011" s="146"/>
      <c r="F1011" s="146"/>
      <c r="G1011" s="146"/>
      <c r="H1011" s="146"/>
      <c r="I1011" s="146"/>
      <c r="J1011" s="146"/>
      <c r="K1011" s="146"/>
      <c r="L1011" s="146"/>
      <c r="M1011" s="146"/>
      <c r="N1011" s="146"/>
      <c r="O1011" s="146"/>
      <c r="P1011" s="146"/>
      <c r="Q1011" s="146"/>
      <c r="R1011" s="146"/>
      <c r="S1011" s="146"/>
      <c r="T1011" s="146"/>
      <c r="U1011" s="146"/>
      <c r="V1011" s="146"/>
      <c r="W1011" s="146"/>
      <c r="X1011" s="146"/>
      <c r="Y1011" s="146"/>
      <c r="Z1011" s="146"/>
      <c r="AA1011" s="146"/>
    </row>
    <row r="1012">
      <c r="A1012" s="146"/>
      <c r="B1012" s="146"/>
      <c r="C1012" s="146"/>
      <c r="D1012" s="146"/>
      <c r="E1012" s="146"/>
      <c r="F1012" s="146"/>
      <c r="G1012" s="146"/>
      <c r="H1012" s="146"/>
      <c r="I1012" s="146"/>
      <c r="J1012" s="146"/>
      <c r="K1012" s="146"/>
      <c r="L1012" s="146"/>
      <c r="M1012" s="146"/>
      <c r="N1012" s="146"/>
      <c r="O1012" s="146"/>
      <c r="P1012" s="146"/>
      <c r="Q1012" s="146"/>
      <c r="R1012" s="146"/>
      <c r="S1012" s="146"/>
      <c r="T1012" s="146"/>
      <c r="U1012" s="146"/>
      <c r="V1012" s="146"/>
      <c r="W1012" s="146"/>
      <c r="X1012" s="146"/>
      <c r="Y1012" s="146"/>
      <c r="Z1012" s="146"/>
      <c r="AA1012" s="146"/>
    </row>
    <row r="1013">
      <c r="A1013" s="146"/>
      <c r="B1013" s="146"/>
      <c r="C1013" s="146"/>
      <c r="D1013" s="146"/>
      <c r="E1013" s="146"/>
      <c r="F1013" s="146"/>
      <c r="G1013" s="146"/>
      <c r="H1013" s="146"/>
      <c r="I1013" s="146"/>
      <c r="J1013" s="146"/>
      <c r="K1013" s="146"/>
      <c r="L1013" s="146"/>
      <c r="M1013" s="146"/>
      <c r="N1013" s="146"/>
      <c r="O1013" s="146"/>
      <c r="P1013" s="146"/>
      <c r="Q1013" s="146"/>
      <c r="R1013" s="146"/>
      <c r="S1013" s="146"/>
      <c r="T1013" s="146"/>
      <c r="U1013" s="146"/>
      <c r="V1013" s="146"/>
      <c r="W1013" s="146"/>
      <c r="X1013" s="146"/>
      <c r="Y1013" s="146"/>
      <c r="Z1013" s="146"/>
      <c r="AA1013" s="146"/>
    </row>
    <row r="1014">
      <c r="A1014" s="146"/>
      <c r="B1014" s="146"/>
      <c r="C1014" s="146"/>
      <c r="D1014" s="146"/>
      <c r="E1014" s="146"/>
      <c r="F1014" s="146"/>
      <c r="G1014" s="146"/>
      <c r="H1014" s="146"/>
      <c r="I1014" s="146"/>
      <c r="J1014" s="146"/>
      <c r="K1014" s="146"/>
      <c r="L1014" s="146"/>
      <c r="M1014" s="146"/>
      <c r="N1014" s="146"/>
      <c r="O1014" s="146"/>
      <c r="P1014" s="146"/>
      <c r="Q1014" s="146"/>
      <c r="R1014" s="146"/>
      <c r="S1014" s="146"/>
      <c r="T1014" s="146"/>
      <c r="U1014" s="146"/>
      <c r="V1014" s="146"/>
      <c r="W1014" s="146"/>
      <c r="X1014" s="146"/>
      <c r="Y1014" s="146"/>
      <c r="Z1014" s="146"/>
      <c r="AA1014" s="14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75"/>
    <col customWidth="1" min="3" max="13" width="11.38"/>
    <col customWidth="1" min="15" max="15" width="11.38"/>
    <col customWidth="1" min="16" max="16" width="2.75"/>
  </cols>
  <sheetData>
    <row r="1">
      <c r="A1" s="112" t="s">
        <v>492</v>
      </c>
      <c r="B1" s="112"/>
      <c r="C1" s="112" t="s">
        <v>568</v>
      </c>
      <c r="D1" s="63">
        <f>O1+31</f>
        <v>46085</v>
      </c>
      <c r="E1" s="63">
        <f t="shared" ref="E1:N1" si="1">D1+31</f>
        <v>46116</v>
      </c>
      <c r="F1" s="63">
        <f t="shared" si="1"/>
        <v>46147</v>
      </c>
      <c r="G1" s="63">
        <f t="shared" si="1"/>
        <v>46178</v>
      </c>
      <c r="H1" s="63">
        <f t="shared" si="1"/>
        <v>46209</v>
      </c>
      <c r="I1" s="63">
        <f t="shared" si="1"/>
        <v>46240</v>
      </c>
      <c r="J1" s="63">
        <f t="shared" si="1"/>
        <v>46271</v>
      </c>
      <c r="K1" s="63">
        <f t="shared" si="1"/>
        <v>46302</v>
      </c>
      <c r="L1" s="63">
        <f t="shared" si="1"/>
        <v>46333</v>
      </c>
      <c r="M1" s="63">
        <f t="shared" si="1"/>
        <v>46364</v>
      </c>
      <c r="N1" s="63">
        <f t="shared" si="1"/>
        <v>46395</v>
      </c>
      <c r="O1" s="63">
        <v>46054.0</v>
      </c>
      <c r="P1" s="127"/>
      <c r="Q1" s="184">
        <f>SUM('MONTHLY CF'!L3:W187)</f>
        <v>52023.6195</v>
      </c>
    </row>
    <row r="2">
      <c r="A2" s="65"/>
      <c r="B2" s="145"/>
      <c r="C2" s="145"/>
      <c r="D2" s="140" t="str">
        <f>O186</f>
        <v/>
      </c>
      <c r="E2" s="140" t="str">
        <f t="shared" ref="E2:M2" si="2">D186</f>
        <v/>
      </c>
      <c r="F2" s="140" t="str">
        <f t="shared" si="2"/>
        <v/>
      </c>
      <c r="G2" s="140" t="str">
        <f t="shared" si="2"/>
        <v/>
      </c>
      <c r="H2" s="140" t="str">
        <f t="shared" si="2"/>
        <v/>
      </c>
      <c r="I2" s="140" t="str">
        <f t="shared" si="2"/>
        <v/>
      </c>
      <c r="J2" s="140" t="str">
        <f t="shared" si="2"/>
        <v/>
      </c>
      <c r="K2" s="140" t="str">
        <f t="shared" si="2"/>
        <v/>
      </c>
      <c r="L2" s="140" t="str">
        <f t="shared" si="2"/>
        <v/>
      </c>
      <c r="M2" s="140" t="str">
        <f t="shared" si="2"/>
        <v/>
      </c>
      <c r="O2" s="140"/>
      <c r="P2" s="127"/>
      <c r="Q2" s="184">
        <f>SUM('MONTHLY CF'!L132:W132)</f>
        <v>5000</v>
      </c>
    </row>
    <row r="3">
      <c r="A3" s="94" t="s">
        <v>569</v>
      </c>
      <c r="B3" s="127"/>
      <c r="C3" s="145">
        <v>-1408.7</v>
      </c>
      <c r="D3" s="86">
        <v>-471.53</v>
      </c>
      <c r="E3" s="86">
        <v>-470.0</v>
      </c>
      <c r="F3" s="86">
        <f>C3-SUM(D3:E3)</f>
        <v>-467.17</v>
      </c>
      <c r="G3" s="86"/>
      <c r="I3" s="86"/>
      <c r="J3" s="86"/>
      <c r="K3" s="86"/>
      <c r="L3" s="86"/>
      <c r="M3" s="86"/>
      <c r="O3" s="86"/>
      <c r="P3" s="127"/>
      <c r="Q3" s="184">
        <f>-SUM('MONTHLY CF'!L10:W10)</f>
        <v>52660.93</v>
      </c>
    </row>
    <row r="4">
      <c r="A4" s="94" t="s">
        <v>570</v>
      </c>
      <c r="B4" s="127"/>
      <c r="C4" s="145">
        <v>0.0</v>
      </c>
      <c r="D4" s="86">
        <v>0.0</v>
      </c>
      <c r="F4" s="185"/>
      <c r="G4" s="86"/>
      <c r="H4" s="86"/>
      <c r="I4" s="86"/>
      <c r="K4" s="86"/>
      <c r="L4" s="86"/>
      <c r="M4" s="86"/>
      <c r="O4" s="86"/>
      <c r="P4" s="127"/>
      <c r="Q4" s="184">
        <f>SUM(Q1:Q3)</f>
        <v>109684.5495</v>
      </c>
    </row>
    <row r="5">
      <c r="A5" s="186" t="s">
        <v>571</v>
      </c>
      <c r="B5" s="127"/>
      <c r="C5" s="145">
        <f>2424.37-5695.45</f>
        <v>-3271.08</v>
      </c>
      <c r="E5" s="86">
        <f>C5</f>
        <v>-3271.08</v>
      </c>
      <c r="F5" s="185"/>
      <c r="G5" s="86"/>
      <c r="H5" s="86"/>
      <c r="I5" s="86"/>
      <c r="J5" s="86"/>
      <c r="K5" s="86"/>
      <c r="L5" s="86"/>
      <c r="M5" s="86"/>
      <c r="O5" s="86"/>
      <c r="P5" s="127"/>
      <c r="Q5" s="187"/>
    </row>
    <row r="6">
      <c r="A6" s="94" t="s">
        <v>572</v>
      </c>
      <c r="B6" s="127"/>
      <c r="C6" s="145">
        <v>0.0</v>
      </c>
      <c r="D6" s="86"/>
      <c r="F6" s="185"/>
      <c r="G6" s="86"/>
      <c r="H6" s="86"/>
      <c r="I6" s="86"/>
      <c r="J6" s="86"/>
      <c r="K6" s="86"/>
      <c r="L6" s="86"/>
      <c r="M6" s="86"/>
      <c r="O6" s="86"/>
      <c r="P6" s="127"/>
      <c r="Q6" s="188">
        <f>1.15*Q4</f>
        <v>126137.2319</v>
      </c>
    </row>
    <row r="7">
      <c r="A7" s="186" t="s">
        <v>573</v>
      </c>
      <c r="B7" s="127"/>
      <c r="C7" s="145">
        <v>0.0</v>
      </c>
      <c r="D7" s="86"/>
      <c r="E7" s="185"/>
      <c r="F7" s="86"/>
      <c r="G7" s="86"/>
      <c r="H7" s="86"/>
      <c r="I7" s="86"/>
      <c r="J7" s="86"/>
      <c r="K7" s="86"/>
      <c r="L7" s="86"/>
      <c r="M7" s="86"/>
      <c r="O7" s="86"/>
      <c r="P7" s="127"/>
      <c r="Q7" s="187"/>
    </row>
    <row r="8">
      <c r="A8" s="145"/>
      <c r="B8" s="145"/>
      <c r="C8" s="145"/>
      <c r="D8" s="86"/>
      <c r="E8" s="86"/>
      <c r="F8" s="86"/>
      <c r="G8" s="86"/>
      <c r="H8" s="86"/>
      <c r="I8" s="86"/>
      <c r="J8" s="86"/>
      <c r="K8" s="86"/>
      <c r="L8" s="86"/>
      <c r="M8" s="86"/>
      <c r="O8" s="86"/>
      <c r="P8" s="145"/>
      <c r="Q8" s="187"/>
    </row>
    <row r="9">
      <c r="A9" s="94"/>
      <c r="B9" s="127"/>
      <c r="C9" s="145">
        <f t="shared" ref="C9:O9" si="3">SUM(C3:C7)</f>
        <v>-4679.78</v>
      </c>
      <c r="D9" s="145">
        <f t="shared" si="3"/>
        <v>-471.53</v>
      </c>
      <c r="E9" s="145">
        <f t="shared" si="3"/>
        <v>-3741.08</v>
      </c>
      <c r="F9" s="145">
        <f t="shared" si="3"/>
        <v>-467.17</v>
      </c>
      <c r="G9" s="145">
        <f t="shared" si="3"/>
        <v>0</v>
      </c>
      <c r="H9" s="145">
        <f t="shared" si="3"/>
        <v>0</v>
      </c>
      <c r="I9" s="145">
        <f t="shared" si="3"/>
        <v>0</v>
      </c>
      <c r="J9" s="145">
        <f t="shared" si="3"/>
        <v>0</v>
      </c>
      <c r="K9" s="145">
        <f t="shared" si="3"/>
        <v>0</v>
      </c>
      <c r="L9" s="145">
        <f t="shared" si="3"/>
        <v>0</v>
      </c>
      <c r="M9" s="145">
        <f t="shared" si="3"/>
        <v>0</v>
      </c>
      <c r="N9" s="145">
        <f t="shared" si="3"/>
        <v>0</v>
      </c>
      <c r="O9" s="145">
        <f t="shared" si="3"/>
        <v>0</v>
      </c>
      <c r="P9" s="127"/>
      <c r="Q9" s="187"/>
    </row>
    <row r="10">
      <c r="C10" s="145"/>
      <c r="Q10" s="187"/>
    </row>
    <row r="11">
      <c r="Q11" s="187"/>
    </row>
    <row r="12">
      <c r="K12" s="161" t="s">
        <v>574</v>
      </c>
      <c r="Q12" s="187"/>
    </row>
    <row r="13">
      <c r="A13" s="65" t="s">
        <v>575</v>
      </c>
      <c r="Q13" s="187"/>
    </row>
    <row r="14">
      <c r="Q14" s="187"/>
    </row>
    <row r="15">
      <c r="A15" s="72" t="s">
        <v>576</v>
      </c>
      <c r="F15" s="86">
        <f t="shared" ref="F15:O15" si="4">116927/12</f>
        <v>9743.916667</v>
      </c>
      <c r="G15" s="86">
        <f t="shared" si="4"/>
        <v>9743.916667</v>
      </c>
      <c r="H15" s="86">
        <f t="shared" si="4"/>
        <v>9743.916667</v>
      </c>
      <c r="I15" s="86">
        <f t="shared" si="4"/>
        <v>9743.916667</v>
      </c>
      <c r="J15" s="86">
        <f t="shared" si="4"/>
        <v>9743.916667</v>
      </c>
      <c r="K15" s="86">
        <f t="shared" si="4"/>
        <v>9743.916667</v>
      </c>
      <c r="L15" s="86">
        <f t="shared" si="4"/>
        <v>9743.916667</v>
      </c>
      <c r="M15" s="86">
        <f t="shared" si="4"/>
        <v>9743.916667</v>
      </c>
      <c r="N15" s="86">
        <f t="shared" si="4"/>
        <v>9743.916667</v>
      </c>
      <c r="O15" s="86">
        <f t="shared" si="4"/>
        <v>9743.916667</v>
      </c>
      <c r="Q15" s="187"/>
    </row>
    <row r="16">
      <c r="A16" s="72" t="s">
        <v>577</v>
      </c>
      <c r="F16" s="86">
        <v>-3000.0</v>
      </c>
      <c r="G16" s="86">
        <v>-3000.0</v>
      </c>
      <c r="H16" s="86">
        <v>-3000.0</v>
      </c>
      <c r="I16" s="86">
        <v>-3000.0</v>
      </c>
      <c r="J16" s="86">
        <v>-3000.0</v>
      </c>
      <c r="K16" s="86">
        <v>-3000.0</v>
      </c>
      <c r="L16" s="86">
        <v>-3000.0</v>
      </c>
      <c r="M16" s="86">
        <v>-3000.0</v>
      </c>
      <c r="N16" s="86">
        <v>-3000.0</v>
      </c>
      <c r="O16" s="86">
        <v>-3000.0</v>
      </c>
      <c r="Q16" s="187"/>
    </row>
    <row r="17">
      <c r="Q17" s="187"/>
    </row>
    <row r="18">
      <c r="A18" s="72" t="s">
        <v>578</v>
      </c>
      <c r="F18" s="1">
        <f t="shared" ref="F18:O18" si="5">SUM(F15:F16)</f>
        <v>6743.916667</v>
      </c>
      <c r="G18" s="1">
        <f t="shared" si="5"/>
        <v>6743.916667</v>
      </c>
      <c r="H18" s="1">
        <f t="shared" si="5"/>
        <v>6743.916667</v>
      </c>
      <c r="I18" s="1">
        <f t="shared" si="5"/>
        <v>6743.916667</v>
      </c>
      <c r="J18" s="1">
        <f t="shared" si="5"/>
        <v>6743.916667</v>
      </c>
      <c r="K18" s="1">
        <f t="shared" si="5"/>
        <v>6743.916667</v>
      </c>
      <c r="L18" s="1">
        <f t="shared" si="5"/>
        <v>6743.916667</v>
      </c>
      <c r="M18" s="1">
        <f t="shared" si="5"/>
        <v>6743.916667</v>
      </c>
      <c r="N18" s="1">
        <f t="shared" si="5"/>
        <v>6743.916667</v>
      </c>
      <c r="O18" s="1">
        <f t="shared" si="5"/>
        <v>6743.916667</v>
      </c>
      <c r="Q18" s="187"/>
    </row>
    <row r="19">
      <c r="A19" s="72" t="s">
        <v>579</v>
      </c>
      <c r="F19" s="1">
        <f>F18</f>
        <v>6743.916667</v>
      </c>
      <c r="G19" s="1">
        <f t="shared" ref="G19:O19" si="6">G18+F19</f>
        <v>13487.83333</v>
      </c>
      <c r="H19" s="1">
        <f t="shared" si="6"/>
        <v>20231.75</v>
      </c>
      <c r="I19" s="1">
        <f t="shared" si="6"/>
        <v>26975.66667</v>
      </c>
      <c r="J19" s="1">
        <f t="shared" si="6"/>
        <v>33719.58333</v>
      </c>
      <c r="K19" s="1">
        <f t="shared" si="6"/>
        <v>40463.5</v>
      </c>
      <c r="L19" s="1">
        <f t="shared" si="6"/>
        <v>47207.41667</v>
      </c>
      <c r="M19" s="1">
        <f t="shared" si="6"/>
        <v>53951.33333</v>
      </c>
      <c r="N19" s="1">
        <f t="shared" si="6"/>
        <v>60695.25</v>
      </c>
      <c r="O19" s="1">
        <f t="shared" si="6"/>
        <v>67439.16667</v>
      </c>
      <c r="Q19" s="187"/>
    </row>
    <row r="20">
      <c r="Q20" s="187"/>
    </row>
    <row r="21">
      <c r="A21" s="72" t="s">
        <v>580</v>
      </c>
      <c r="F21" s="1">
        <f t="shared" ref="F21:O21" si="7">F19/0.25-3000</f>
        <v>23975.66667</v>
      </c>
      <c r="G21" s="1">
        <f t="shared" si="7"/>
        <v>50951.33333</v>
      </c>
      <c r="H21" s="1">
        <f t="shared" si="7"/>
        <v>77927</v>
      </c>
      <c r="I21" s="189">
        <f t="shared" si="7"/>
        <v>104902.6667</v>
      </c>
      <c r="J21" s="189">
        <f t="shared" si="7"/>
        <v>131878.3333</v>
      </c>
      <c r="K21" s="190">
        <f t="shared" si="7"/>
        <v>158854</v>
      </c>
      <c r="L21" s="190">
        <f t="shared" si="7"/>
        <v>185829.6667</v>
      </c>
      <c r="M21" s="191">
        <f t="shared" si="7"/>
        <v>212805.3333</v>
      </c>
      <c r="N21" s="191">
        <f t="shared" si="7"/>
        <v>239781</v>
      </c>
      <c r="O21" s="191">
        <f t="shared" si="7"/>
        <v>266756.6667</v>
      </c>
      <c r="Q21" s="187"/>
    </row>
    <row r="22">
      <c r="Q22" s="187"/>
    </row>
    <row r="23">
      <c r="F23" s="192" t="s">
        <v>581</v>
      </c>
      <c r="Q23" s="187"/>
    </row>
    <row r="24">
      <c r="I24" s="192" t="s">
        <v>582</v>
      </c>
      <c r="Q24" s="187"/>
    </row>
    <row r="25">
      <c r="A25" s="193" t="s">
        <v>583</v>
      </c>
      <c r="B25" s="194"/>
      <c r="C25" s="195">
        <f>1177.37+442.2+940</f>
        <v>2559.57</v>
      </c>
      <c r="D25" s="2"/>
      <c r="E25" s="2"/>
      <c r="F25" s="2"/>
      <c r="G25" s="2"/>
      <c r="H25" s="2"/>
      <c r="I25" s="2"/>
      <c r="J25" s="2"/>
      <c r="K25" s="196" t="s">
        <v>584</v>
      </c>
      <c r="L25" s="2"/>
      <c r="M25" s="2"/>
      <c r="N25" s="2"/>
      <c r="O25" s="2"/>
      <c r="P25" s="2"/>
      <c r="Q25" s="187"/>
      <c r="R25" s="2"/>
      <c r="S25" s="2"/>
      <c r="T25" s="2"/>
      <c r="U25" s="2"/>
      <c r="V25" s="2"/>
      <c r="W25" s="2"/>
      <c r="X25" s="2"/>
      <c r="Y25" s="2"/>
    </row>
    <row r="26">
      <c r="K26" s="196" t="s">
        <v>585</v>
      </c>
      <c r="Q26" s="187"/>
    </row>
    <row r="27">
      <c r="Q27" s="187"/>
    </row>
    <row r="28">
      <c r="Q28" s="187"/>
    </row>
    <row r="29">
      <c r="Q29" s="187"/>
    </row>
    <row r="30">
      <c r="Q30" s="187"/>
    </row>
    <row r="31">
      <c r="Q31" s="187"/>
    </row>
    <row r="32">
      <c r="Q32" s="187"/>
    </row>
    <row r="33">
      <c r="Q33" s="187"/>
    </row>
    <row r="34">
      <c r="Q34" s="187"/>
    </row>
    <row r="35">
      <c r="Q35" s="187"/>
    </row>
    <row r="36">
      <c r="Q36" s="187"/>
    </row>
    <row r="37">
      <c r="Q37" s="187"/>
    </row>
    <row r="38">
      <c r="Q38" s="187"/>
    </row>
    <row r="39">
      <c r="Q39" s="187"/>
    </row>
    <row r="40">
      <c r="Q40" s="187"/>
    </row>
    <row r="41">
      <c r="Q41" s="187"/>
    </row>
    <row r="42">
      <c r="Q42" s="187"/>
    </row>
    <row r="43">
      <c r="Q43" s="187"/>
    </row>
    <row r="44">
      <c r="Q44" s="187"/>
    </row>
    <row r="45">
      <c r="Q45" s="187"/>
    </row>
    <row r="46">
      <c r="Q46" s="187"/>
    </row>
    <row r="47">
      <c r="Q47" s="187"/>
    </row>
    <row r="48">
      <c r="Q48" s="187"/>
    </row>
    <row r="49">
      <c r="Q49" s="187"/>
    </row>
    <row r="50">
      <c r="Q50" s="187"/>
    </row>
    <row r="51">
      <c r="Q51" s="187"/>
    </row>
    <row r="52">
      <c r="Q52" s="187"/>
    </row>
    <row r="53">
      <c r="Q53" s="187"/>
    </row>
    <row r="54">
      <c r="Q54" s="187"/>
    </row>
    <row r="55">
      <c r="Q55" s="187"/>
    </row>
    <row r="56">
      <c r="Q56" s="187"/>
    </row>
    <row r="57">
      <c r="Q57" s="187"/>
    </row>
    <row r="58">
      <c r="Q58" s="187"/>
    </row>
    <row r="59">
      <c r="Q59" s="187"/>
    </row>
    <row r="60">
      <c r="Q60" s="187"/>
    </row>
    <row r="61">
      <c r="Q61" s="187"/>
    </row>
    <row r="62">
      <c r="Q62" s="187"/>
    </row>
    <row r="63">
      <c r="Q63" s="187"/>
    </row>
    <row r="64">
      <c r="Q64" s="187"/>
    </row>
    <row r="65">
      <c r="Q65" s="187"/>
    </row>
    <row r="66">
      <c r="Q66" s="187"/>
    </row>
    <row r="67">
      <c r="Q67" s="187"/>
    </row>
    <row r="68">
      <c r="Q68" s="187"/>
    </row>
    <row r="69">
      <c r="Q69" s="187"/>
    </row>
    <row r="70">
      <c r="Q70" s="187"/>
    </row>
    <row r="71">
      <c r="Q71" s="187"/>
    </row>
    <row r="72">
      <c r="Q72" s="187"/>
    </row>
    <row r="73">
      <c r="Q73" s="187"/>
    </row>
    <row r="74">
      <c r="Q74" s="187"/>
    </row>
    <row r="75">
      <c r="Q75" s="187"/>
    </row>
    <row r="76">
      <c r="Q76" s="187"/>
    </row>
    <row r="77">
      <c r="Q77" s="187"/>
    </row>
    <row r="78">
      <c r="Q78" s="187"/>
    </row>
    <row r="79">
      <c r="Q79" s="187"/>
    </row>
    <row r="80">
      <c r="Q80" s="187"/>
    </row>
    <row r="81">
      <c r="Q81" s="187"/>
    </row>
    <row r="82">
      <c r="Q82" s="187"/>
    </row>
    <row r="83">
      <c r="Q83" s="187"/>
    </row>
    <row r="84">
      <c r="Q84" s="187"/>
    </row>
    <row r="85">
      <c r="Q85" s="187"/>
    </row>
    <row r="86">
      <c r="Q86" s="187"/>
    </row>
    <row r="87">
      <c r="Q87" s="187"/>
    </row>
    <row r="88">
      <c r="Q88" s="187"/>
    </row>
    <row r="89">
      <c r="Q89" s="187"/>
    </row>
    <row r="90">
      <c r="Q90" s="187"/>
    </row>
    <row r="91">
      <c r="Q91" s="187"/>
    </row>
    <row r="92">
      <c r="Q92" s="187"/>
    </row>
    <row r="93">
      <c r="Q93" s="187"/>
    </row>
    <row r="94">
      <c r="Q94" s="187"/>
    </row>
    <row r="95">
      <c r="Q95" s="187"/>
    </row>
    <row r="96">
      <c r="Q96" s="187"/>
    </row>
    <row r="97">
      <c r="Q97" s="187"/>
    </row>
    <row r="98">
      <c r="Q98" s="187"/>
    </row>
    <row r="99">
      <c r="Q99" s="187"/>
    </row>
    <row r="100">
      <c r="Q100" s="187"/>
    </row>
    <row r="101">
      <c r="Q101" s="187"/>
    </row>
    <row r="102">
      <c r="Q102" s="187"/>
    </row>
    <row r="103">
      <c r="Q103" s="187"/>
    </row>
    <row r="104">
      <c r="Q104" s="187"/>
    </row>
    <row r="105">
      <c r="Q105" s="187"/>
    </row>
    <row r="106">
      <c r="Q106" s="187"/>
    </row>
    <row r="107">
      <c r="Q107" s="187"/>
    </row>
    <row r="108">
      <c r="Q108" s="187"/>
    </row>
    <row r="109">
      <c r="Q109" s="187"/>
    </row>
    <row r="110">
      <c r="Q110" s="187"/>
    </row>
    <row r="111">
      <c r="Q111" s="187"/>
    </row>
    <row r="112">
      <c r="Q112" s="187"/>
    </row>
    <row r="113">
      <c r="Q113" s="187"/>
    </row>
    <row r="114">
      <c r="Q114" s="187"/>
    </row>
    <row r="115">
      <c r="Q115" s="187"/>
    </row>
    <row r="116">
      <c r="Q116" s="187"/>
    </row>
    <row r="117">
      <c r="Q117" s="187"/>
    </row>
    <row r="118">
      <c r="Q118" s="187"/>
    </row>
    <row r="119">
      <c r="Q119" s="187"/>
    </row>
    <row r="120">
      <c r="Q120" s="187"/>
    </row>
    <row r="121">
      <c r="Q121" s="187"/>
    </row>
    <row r="122">
      <c r="Q122" s="187"/>
    </row>
    <row r="123">
      <c r="Q123" s="187"/>
    </row>
    <row r="124">
      <c r="Q124" s="187"/>
    </row>
    <row r="125">
      <c r="Q125" s="187"/>
    </row>
    <row r="126">
      <c r="Q126" s="187"/>
    </row>
    <row r="127">
      <c r="Q127" s="187"/>
    </row>
    <row r="128">
      <c r="Q128" s="187"/>
    </row>
    <row r="129">
      <c r="Q129" s="187"/>
    </row>
    <row r="130">
      <c r="Q130" s="187"/>
    </row>
    <row r="131">
      <c r="Q131" s="187"/>
    </row>
    <row r="132">
      <c r="Q132" s="187"/>
    </row>
    <row r="133">
      <c r="Q133" s="187"/>
    </row>
    <row r="134">
      <c r="Q134" s="187"/>
    </row>
    <row r="135">
      <c r="Q135" s="187"/>
    </row>
    <row r="136">
      <c r="Q136" s="187"/>
    </row>
    <row r="137">
      <c r="Q137" s="187"/>
    </row>
    <row r="138">
      <c r="Q138" s="187"/>
    </row>
    <row r="139">
      <c r="Q139" s="187"/>
    </row>
    <row r="140">
      <c r="Q140" s="187"/>
    </row>
    <row r="141">
      <c r="Q141" s="187"/>
    </row>
    <row r="142">
      <c r="Q142" s="187"/>
    </row>
    <row r="143">
      <c r="Q143" s="187"/>
    </row>
    <row r="144">
      <c r="Q144" s="187"/>
    </row>
    <row r="145">
      <c r="Q145" s="187"/>
    </row>
    <row r="146">
      <c r="Q146" s="187"/>
    </row>
    <row r="147">
      <c r="Q147" s="187"/>
    </row>
    <row r="148">
      <c r="Q148" s="187"/>
    </row>
    <row r="149">
      <c r="Q149" s="187"/>
    </row>
    <row r="150">
      <c r="Q150" s="187"/>
    </row>
    <row r="151">
      <c r="Q151" s="187"/>
    </row>
    <row r="152">
      <c r="Q152" s="187"/>
    </row>
    <row r="153">
      <c r="Q153" s="187"/>
    </row>
    <row r="154">
      <c r="Q154" s="187"/>
    </row>
    <row r="155">
      <c r="Q155" s="187"/>
    </row>
    <row r="156">
      <c r="Q156" s="187"/>
    </row>
    <row r="157">
      <c r="Q157" s="187"/>
    </row>
    <row r="158">
      <c r="Q158" s="187"/>
    </row>
    <row r="159">
      <c r="Q159" s="187"/>
    </row>
    <row r="160">
      <c r="Q160" s="187"/>
    </row>
    <row r="161">
      <c r="Q161" s="187"/>
    </row>
    <row r="162">
      <c r="Q162" s="187"/>
    </row>
    <row r="163">
      <c r="Q163" s="187"/>
    </row>
    <row r="164">
      <c r="Q164" s="187"/>
    </row>
    <row r="165">
      <c r="Q165" s="187"/>
    </row>
    <row r="166">
      <c r="Q166" s="187"/>
    </row>
    <row r="167">
      <c r="Q167" s="187"/>
    </row>
    <row r="168">
      <c r="Q168" s="187"/>
    </row>
    <row r="169">
      <c r="Q169" s="187"/>
    </row>
    <row r="170">
      <c r="Q170" s="187"/>
    </row>
    <row r="171">
      <c r="Q171" s="187"/>
    </row>
    <row r="172">
      <c r="Q172" s="187"/>
    </row>
    <row r="173">
      <c r="Q173" s="187"/>
    </row>
    <row r="174">
      <c r="Q174" s="187"/>
    </row>
    <row r="175">
      <c r="Q175" s="187"/>
    </row>
    <row r="176">
      <c r="Q176" s="187"/>
    </row>
    <row r="177">
      <c r="Q177" s="187"/>
    </row>
    <row r="178">
      <c r="Q178" s="187"/>
    </row>
    <row r="179">
      <c r="Q179" s="187"/>
    </row>
    <row r="180">
      <c r="Q180" s="187"/>
    </row>
    <row r="181">
      <c r="Q181" s="187"/>
    </row>
    <row r="182">
      <c r="Q182" s="187"/>
    </row>
    <row r="183">
      <c r="Q183" s="187"/>
    </row>
    <row r="184">
      <c r="Q184" s="187"/>
    </row>
    <row r="185">
      <c r="Q185" s="187"/>
    </row>
    <row r="186">
      <c r="Q186" s="187"/>
    </row>
    <row r="187">
      <c r="Q187" s="187"/>
    </row>
    <row r="188">
      <c r="Q188" s="187"/>
    </row>
    <row r="189">
      <c r="Q189" s="187"/>
    </row>
    <row r="190">
      <c r="Q190" s="187"/>
    </row>
    <row r="191">
      <c r="Q191" s="187"/>
    </row>
    <row r="192">
      <c r="Q192" s="187"/>
    </row>
    <row r="193">
      <c r="Q193" s="187"/>
    </row>
    <row r="194">
      <c r="Q194" s="187"/>
    </row>
    <row r="195">
      <c r="Q195" s="187"/>
    </row>
    <row r="196">
      <c r="Q196" s="187"/>
    </row>
    <row r="197">
      <c r="Q197" s="187"/>
    </row>
    <row r="198">
      <c r="Q198" s="187"/>
    </row>
    <row r="199">
      <c r="Q199" s="187"/>
    </row>
    <row r="200">
      <c r="Q200" s="187"/>
    </row>
    <row r="201">
      <c r="Q201" s="187"/>
    </row>
    <row r="202">
      <c r="Q202" s="187"/>
    </row>
    <row r="203">
      <c r="Q203" s="187"/>
    </row>
    <row r="204">
      <c r="Q204" s="187"/>
    </row>
    <row r="205">
      <c r="Q205" s="187"/>
    </row>
    <row r="206">
      <c r="Q206" s="187"/>
    </row>
    <row r="207">
      <c r="Q207" s="187"/>
    </row>
    <row r="208">
      <c r="Q208" s="187"/>
    </row>
    <row r="209">
      <c r="Q209" s="187"/>
    </row>
    <row r="210">
      <c r="Q210" s="187"/>
    </row>
    <row r="211">
      <c r="Q211" s="187"/>
    </row>
    <row r="212">
      <c r="Q212" s="187"/>
    </row>
    <row r="213">
      <c r="Q213" s="187"/>
    </row>
    <row r="214">
      <c r="Q214" s="187"/>
    </row>
    <row r="215">
      <c r="Q215" s="187"/>
    </row>
    <row r="216">
      <c r="Q216" s="187"/>
    </row>
    <row r="217">
      <c r="Q217" s="187"/>
    </row>
    <row r="218">
      <c r="Q218" s="187"/>
    </row>
    <row r="219">
      <c r="Q219" s="187"/>
    </row>
    <row r="220">
      <c r="Q220" s="187"/>
    </row>
    <row r="221">
      <c r="Q221" s="187"/>
    </row>
    <row r="222">
      <c r="Q222" s="187"/>
    </row>
    <row r="223">
      <c r="Q223" s="187"/>
    </row>
    <row r="224">
      <c r="Q224" s="187"/>
    </row>
    <row r="225">
      <c r="Q225" s="187"/>
    </row>
    <row r="226">
      <c r="Q226" s="187"/>
    </row>
    <row r="227">
      <c r="Q227" s="187"/>
    </row>
    <row r="228">
      <c r="Q228" s="187"/>
    </row>
    <row r="229">
      <c r="Q229" s="187"/>
    </row>
    <row r="230">
      <c r="Q230" s="187"/>
    </row>
    <row r="231">
      <c r="Q231" s="187"/>
    </row>
    <row r="232">
      <c r="Q232" s="187"/>
    </row>
    <row r="233">
      <c r="Q233" s="187"/>
    </row>
    <row r="234">
      <c r="Q234" s="187"/>
    </row>
    <row r="235">
      <c r="Q235" s="187"/>
    </row>
    <row r="236">
      <c r="Q236" s="187"/>
    </row>
    <row r="237">
      <c r="Q237" s="187"/>
    </row>
    <row r="238">
      <c r="Q238" s="187"/>
    </row>
    <row r="239">
      <c r="Q239" s="187"/>
    </row>
    <row r="240">
      <c r="Q240" s="187"/>
    </row>
    <row r="241">
      <c r="Q241" s="187"/>
    </row>
    <row r="242">
      <c r="Q242" s="187"/>
    </row>
    <row r="243">
      <c r="Q243" s="187"/>
    </row>
    <row r="244">
      <c r="Q244" s="187"/>
    </row>
    <row r="245">
      <c r="Q245" s="187"/>
    </row>
    <row r="246">
      <c r="Q246" s="187"/>
    </row>
    <row r="247">
      <c r="Q247" s="187"/>
    </row>
    <row r="248">
      <c r="Q248" s="187"/>
    </row>
    <row r="249">
      <c r="Q249" s="187"/>
    </row>
    <row r="250">
      <c r="Q250" s="187"/>
    </row>
    <row r="251">
      <c r="Q251" s="187"/>
    </row>
    <row r="252">
      <c r="Q252" s="187"/>
    </row>
    <row r="253">
      <c r="Q253" s="187"/>
    </row>
    <row r="254">
      <c r="Q254" s="187"/>
    </row>
    <row r="255">
      <c r="Q255" s="187"/>
    </row>
    <row r="256">
      <c r="Q256" s="187"/>
    </row>
    <row r="257">
      <c r="Q257" s="187"/>
    </row>
    <row r="258">
      <c r="Q258" s="187"/>
    </row>
    <row r="259">
      <c r="Q259" s="187"/>
    </row>
    <row r="260">
      <c r="Q260" s="187"/>
    </row>
    <row r="261">
      <c r="Q261" s="187"/>
    </row>
    <row r="262">
      <c r="Q262" s="187"/>
    </row>
    <row r="263">
      <c r="Q263" s="187"/>
    </row>
    <row r="264">
      <c r="Q264" s="187"/>
    </row>
    <row r="265">
      <c r="Q265" s="187"/>
    </row>
    <row r="266">
      <c r="Q266" s="187"/>
    </row>
    <row r="267">
      <c r="Q267" s="187"/>
    </row>
    <row r="268">
      <c r="Q268" s="187"/>
    </row>
    <row r="269">
      <c r="Q269" s="187"/>
    </row>
    <row r="270">
      <c r="Q270" s="187"/>
    </row>
    <row r="271">
      <c r="Q271" s="187"/>
    </row>
    <row r="272">
      <c r="Q272" s="187"/>
    </row>
    <row r="273">
      <c r="Q273" s="187"/>
    </row>
    <row r="274">
      <c r="Q274" s="187"/>
    </row>
    <row r="275">
      <c r="Q275" s="187"/>
    </row>
    <row r="276">
      <c r="Q276" s="187"/>
    </row>
    <row r="277">
      <c r="Q277" s="187"/>
    </row>
    <row r="278">
      <c r="Q278" s="187"/>
    </row>
    <row r="279">
      <c r="Q279" s="187"/>
    </row>
    <row r="280">
      <c r="Q280" s="187"/>
    </row>
    <row r="281">
      <c r="Q281" s="187"/>
    </row>
    <row r="282">
      <c r="Q282" s="187"/>
    </row>
    <row r="283">
      <c r="Q283" s="187"/>
    </row>
    <row r="284">
      <c r="Q284" s="187"/>
    </row>
    <row r="285">
      <c r="Q285" s="187"/>
    </row>
    <row r="286">
      <c r="Q286" s="187"/>
    </row>
    <row r="287">
      <c r="Q287" s="187"/>
    </row>
    <row r="288">
      <c r="Q288" s="187"/>
    </row>
    <row r="289">
      <c r="Q289" s="187"/>
    </row>
    <row r="290">
      <c r="Q290" s="187"/>
    </row>
    <row r="291">
      <c r="Q291" s="187"/>
    </row>
    <row r="292">
      <c r="Q292" s="187"/>
    </row>
    <row r="293">
      <c r="Q293" s="187"/>
    </row>
    <row r="294">
      <c r="Q294" s="187"/>
    </row>
    <row r="295">
      <c r="Q295" s="187"/>
    </row>
    <row r="296">
      <c r="Q296" s="187"/>
    </row>
    <row r="297">
      <c r="Q297" s="187"/>
    </row>
    <row r="298">
      <c r="Q298" s="187"/>
    </row>
    <row r="299">
      <c r="Q299" s="187"/>
    </row>
    <row r="300">
      <c r="Q300" s="187"/>
    </row>
    <row r="301">
      <c r="Q301" s="187"/>
    </row>
    <row r="302">
      <c r="Q302" s="187"/>
    </row>
    <row r="303">
      <c r="Q303" s="187"/>
    </row>
    <row r="304">
      <c r="Q304" s="187"/>
    </row>
    <row r="305">
      <c r="Q305" s="187"/>
    </row>
    <row r="306">
      <c r="Q306" s="187"/>
    </row>
    <row r="307">
      <c r="Q307" s="187"/>
    </row>
    <row r="308">
      <c r="Q308" s="187"/>
    </row>
    <row r="309">
      <c r="Q309" s="187"/>
    </row>
    <row r="310">
      <c r="Q310" s="187"/>
    </row>
    <row r="311">
      <c r="Q311" s="187"/>
    </row>
    <row r="312">
      <c r="Q312" s="187"/>
    </row>
    <row r="313">
      <c r="Q313" s="187"/>
    </row>
    <row r="314">
      <c r="Q314" s="187"/>
    </row>
    <row r="315">
      <c r="Q315" s="187"/>
    </row>
    <row r="316">
      <c r="Q316" s="187"/>
    </row>
    <row r="317">
      <c r="Q317" s="187"/>
    </row>
    <row r="318">
      <c r="Q318" s="187"/>
    </row>
    <row r="319">
      <c r="Q319" s="187"/>
    </row>
    <row r="320">
      <c r="Q320" s="187"/>
    </row>
    <row r="321">
      <c r="Q321" s="187"/>
    </row>
    <row r="322">
      <c r="Q322" s="187"/>
    </row>
    <row r="323">
      <c r="Q323" s="187"/>
    </row>
    <row r="324">
      <c r="Q324" s="187"/>
    </row>
    <row r="325">
      <c r="Q325" s="187"/>
    </row>
    <row r="326">
      <c r="Q326" s="187"/>
    </row>
    <row r="327">
      <c r="Q327" s="187"/>
    </row>
    <row r="328">
      <c r="Q328" s="187"/>
    </row>
    <row r="329">
      <c r="Q329" s="187"/>
    </row>
    <row r="330">
      <c r="Q330" s="187"/>
    </row>
    <row r="331">
      <c r="Q331" s="187"/>
    </row>
    <row r="332">
      <c r="Q332" s="187"/>
    </row>
    <row r="333">
      <c r="Q333" s="187"/>
    </row>
    <row r="334">
      <c r="Q334" s="187"/>
    </row>
    <row r="335">
      <c r="Q335" s="187"/>
    </row>
    <row r="336">
      <c r="Q336" s="187"/>
    </row>
    <row r="337">
      <c r="Q337" s="187"/>
    </row>
    <row r="338">
      <c r="Q338" s="187"/>
    </row>
    <row r="339">
      <c r="Q339" s="187"/>
    </row>
    <row r="340">
      <c r="Q340" s="187"/>
    </row>
    <row r="341">
      <c r="Q341" s="187"/>
    </row>
    <row r="342">
      <c r="Q342" s="187"/>
    </row>
    <row r="343">
      <c r="Q343" s="187"/>
    </row>
    <row r="344">
      <c r="Q344" s="187"/>
    </row>
    <row r="345">
      <c r="Q345" s="187"/>
    </row>
    <row r="346">
      <c r="Q346" s="187"/>
    </row>
    <row r="347">
      <c r="Q347" s="187"/>
    </row>
    <row r="348">
      <c r="Q348" s="187"/>
    </row>
    <row r="349">
      <c r="Q349" s="187"/>
    </row>
    <row r="350">
      <c r="Q350" s="187"/>
    </row>
    <row r="351">
      <c r="Q351" s="187"/>
    </row>
    <row r="352">
      <c r="Q352" s="187"/>
    </row>
    <row r="353">
      <c r="Q353" s="187"/>
    </row>
    <row r="354">
      <c r="Q354" s="187"/>
    </row>
    <row r="355">
      <c r="Q355" s="187"/>
    </row>
    <row r="356">
      <c r="Q356" s="187"/>
    </row>
    <row r="357">
      <c r="Q357" s="187"/>
    </row>
    <row r="358">
      <c r="Q358" s="187"/>
    </row>
    <row r="359">
      <c r="Q359" s="187"/>
    </row>
    <row r="360">
      <c r="Q360" s="187"/>
    </row>
    <row r="361">
      <c r="Q361" s="187"/>
    </row>
    <row r="362">
      <c r="Q362" s="187"/>
    </row>
    <row r="363">
      <c r="Q363" s="187"/>
    </row>
    <row r="364">
      <c r="Q364" s="187"/>
    </row>
    <row r="365">
      <c r="Q365" s="187"/>
    </row>
    <row r="366">
      <c r="Q366" s="187"/>
    </row>
    <row r="367">
      <c r="Q367" s="187"/>
    </row>
    <row r="368">
      <c r="Q368" s="187"/>
    </row>
    <row r="369">
      <c r="Q369" s="187"/>
    </row>
    <row r="370">
      <c r="Q370" s="187"/>
    </row>
    <row r="371">
      <c r="Q371" s="187"/>
    </row>
    <row r="372">
      <c r="Q372" s="187"/>
    </row>
    <row r="373">
      <c r="Q373" s="187"/>
    </row>
    <row r="374">
      <c r="Q374" s="187"/>
    </row>
    <row r="375">
      <c r="Q375" s="187"/>
    </row>
    <row r="376">
      <c r="Q376" s="187"/>
    </row>
    <row r="377">
      <c r="Q377" s="187"/>
    </row>
    <row r="378">
      <c r="Q378" s="187"/>
    </row>
    <row r="379">
      <c r="Q379" s="187"/>
    </row>
    <row r="380">
      <c r="Q380" s="187"/>
    </row>
    <row r="381">
      <c r="Q381" s="187"/>
    </row>
    <row r="382">
      <c r="Q382" s="187"/>
    </row>
    <row r="383">
      <c r="Q383" s="187"/>
    </row>
    <row r="384">
      <c r="Q384" s="187"/>
    </row>
    <row r="385">
      <c r="Q385" s="187"/>
    </row>
    <row r="386">
      <c r="Q386" s="187"/>
    </row>
    <row r="387">
      <c r="Q387" s="187"/>
    </row>
    <row r="388">
      <c r="Q388" s="187"/>
    </row>
    <row r="389">
      <c r="Q389" s="187"/>
    </row>
    <row r="390">
      <c r="Q390" s="187"/>
    </row>
    <row r="391">
      <c r="Q391" s="187"/>
    </row>
    <row r="392">
      <c r="Q392" s="187"/>
    </row>
    <row r="393">
      <c r="Q393" s="187"/>
    </row>
    <row r="394">
      <c r="Q394" s="187"/>
    </row>
    <row r="395">
      <c r="Q395" s="187"/>
    </row>
    <row r="396">
      <c r="Q396" s="187"/>
    </row>
    <row r="397">
      <c r="Q397" s="187"/>
    </row>
    <row r="398">
      <c r="Q398" s="187"/>
    </row>
    <row r="399">
      <c r="Q399" s="187"/>
    </row>
    <row r="400">
      <c r="Q400" s="187"/>
    </row>
    <row r="401">
      <c r="Q401" s="187"/>
    </row>
    <row r="402">
      <c r="Q402" s="187"/>
    </row>
    <row r="403">
      <c r="Q403" s="187"/>
    </row>
    <row r="404">
      <c r="Q404" s="187"/>
    </row>
    <row r="405">
      <c r="Q405" s="187"/>
    </row>
    <row r="406">
      <c r="Q406" s="187"/>
    </row>
    <row r="407">
      <c r="Q407" s="187"/>
    </row>
    <row r="408">
      <c r="Q408" s="187"/>
    </row>
    <row r="409">
      <c r="Q409" s="187"/>
    </row>
    <row r="410">
      <c r="Q410" s="187"/>
    </row>
    <row r="411">
      <c r="Q411" s="187"/>
    </row>
    <row r="412">
      <c r="Q412" s="187"/>
    </row>
    <row r="413">
      <c r="Q413" s="187"/>
    </row>
    <row r="414">
      <c r="Q414" s="187"/>
    </row>
    <row r="415">
      <c r="Q415" s="187"/>
    </row>
    <row r="416">
      <c r="Q416" s="187"/>
    </row>
    <row r="417">
      <c r="Q417" s="187"/>
    </row>
    <row r="418">
      <c r="Q418" s="187"/>
    </row>
    <row r="419">
      <c r="Q419" s="187"/>
    </row>
    <row r="420">
      <c r="Q420" s="187"/>
    </row>
    <row r="421">
      <c r="Q421" s="187"/>
    </row>
    <row r="422">
      <c r="Q422" s="187"/>
    </row>
    <row r="423">
      <c r="Q423" s="187"/>
    </row>
    <row r="424">
      <c r="Q424" s="187"/>
    </row>
    <row r="425">
      <c r="Q425" s="187"/>
    </row>
    <row r="426">
      <c r="Q426" s="187"/>
    </row>
    <row r="427">
      <c r="Q427" s="187"/>
    </row>
    <row r="428">
      <c r="Q428" s="187"/>
    </row>
    <row r="429">
      <c r="Q429" s="187"/>
    </row>
    <row r="430">
      <c r="Q430" s="187"/>
    </row>
    <row r="431">
      <c r="Q431" s="187"/>
    </row>
    <row r="432">
      <c r="Q432" s="187"/>
    </row>
    <row r="433">
      <c r="Q433" s="187"/>
    </row>
    <row r="434">
      <c r="Q434" s="187"/>
    </row>
    <row r="435">
      <c r="Q435" s="187"/>
    </row>
    <row r="436">
      <c r="Q436" s="187"/>
    </row>
    <row r="437">
      <c r="Q437" s="187"/>
    </row>
    <row r="438">
      <c r="Q438" s="187"/>
    </row>
    <row r="439">
      <c r="Q439" s="187"/>
    </row>
    <row r="440">
      <c r="Q440" s="187"/>
    </row>
    <row r="441">
      <c r="Q441" s="187"/>
    </row>
    <row r="442">
      <c r="Q442" s="187"/>
    </row>
    <row r="443">
      <c r="Q443" s="187"/>
    </row>
    <row r="444">
      <c r="Q444" s="187"/>
    </row>
    <row r="445">
      <c r="Q445" s="187"/>
    </row>
    <row r="446">
      <c r="Q446" s="187"/>
    </row>
    <row r="447">
      <c r="Q447" s="187"/>
    </row>
    <row r="448">
      <c r="Q448" s="187"/>
    </row>
    <row r="449">
      <c r="Q449" s="187"/>
    </row>
    <row r="450">
      <c r="Q450" s="187"/>
    </row>
    <row r="451">
      <c r="Q451" s="187"/>
    </row>
    <row r="452">
      <c r="Q452" s="187"/>
    </row>
    <row r="453">
      <c r="Q453" s="187"/>
    </row>
    <row r="454">
      <c r="Q454" s="187"/>
    </row>
    <row r="455">
      <c r="Q455" s="187"/>
    </row>
    <row r="456">
      <c r="Q456" s="187"/>
    </row>
    <row r="457">
      <c r="Q457" s="187"/>
    </row>
    <row r="458">
      <c r="Q458" s="187"/>
    </row>
    <row r="459">
      <c r="Q459" s="187"/>
    </row>
    <row r="460">
      <c r="Q460" s="187"/>
    </row>
    <row r="461">
      <c r="Q461" s="187"/>
    </row>
    <row r="462">
      <c r="Q462" s="187"/>
    </row>
    <row r="463">
      <c r="Q463" s="187"/>
    </row>
    <row r="464">
      <c r="Q464" s="187"/>
    </row>
    <row r="465">
      <c r="Q465" s="187"/>
    </row>
    <row r="466">
      <c r="Q466" s="187"/>
    </row>
    <row r="467">
      <c r="Q467" s="187"/>
    </row>
    <row r="468">
      <c r="Q468" s="187"/>
    </row>
    <row r="469">
      <c r="Q469" s="187"/>
    </row>
    <row r="470">
      <c r="Q470" s="187"/>
    </row>
    <row r="471">
      <c r="Q471" s="187"/>
    </row>
    <row r="472">
      <c r="Q472" s="187"/>
    </row>
    <row r="473">
      <c r="Q473" s="187"/>
    </row>
    <row r="474">
      <c r="Q474" s="187"/>
    </row>
    <row r="475">
      <c r="Q475" s="187"/>
    </row>
    <row r="476">
      <c r="Q476" s="187"/>
    </row>
    <row r="477">
      <c r="Q477" s="187"/>
    </row>
    <row r="478">
      <c r="Q478" s="187"/>
    </row>
    <row r="479">
      <c r="Q479" s="187"/>
    </row>
    <row r="480">
      <c r="Q480" s="187"/>
    </row>
    <row r="481">
      <c r="Q481" s="187"/>
    </row>
    <row r="482">
      <c r="Q482" s="187"/>
    </row>
    <row r="483">
      <c r="Q483" s="187"/>
    </row>
    <row r="484">
      <c r="Q484" s="187"/>
    </row>
    <row r="485">
      <c r="Q485" s="187"/>
    </row>
    <row r="486">
      <c r="Q486" s="187"/>
    </row>
    <row r="487">
      <c r="Q487" s="187"/>
    </row>
    <row r="488">
      <c r="Q488" s="187"/>
    </row>
    <row r="489">
      <c r="Q489" s="187"/>
    </row>
    <row r="490">
      <c r="Q490" s="187"/>
    </row>
    <row r="491">
      <c r="Q491" s="187"/>
    </row>
    <row r="492">
      <c r="Q492" s="187"/>
    </row>
    <row r="493">
      <c r="Q493" s="187"/>
    </row>
    <row r="494">
      <c r="Q494" s="187"/>
    </row>
    <row r="495">
      <c r="Q495" s="187"/>
    </row>
    <row r="496">
      <c r="Q496" s="187"/>
    </row>
    <row r="497">
      <c r="Q497" s="187"/>
    </row>
    <row r="498">
      <c r="Q498" s="187"/>
    </row>
    <row r="499">
      <c r="Q499" s="187"/>
    </row>
    <row r="500">
      <c r="Q500" s="187"/>
    </row>
    <row r="501">
      <c r="Q501" s="187"/>
    </row>
    <row r="502">
      <c r="Q502" s="187"/>
    </row>
    <row r="503">
      <c r="Q503" s="187"/>
    </row>
    <row r="504">
      <c r="Q504" s="187"/>
    </row>
    <row r="505">
      <c r="Q505" s="187"/>
    </row>
    <row r="506">
      <c r="Q506" s="187"/>
    </row>
    <row r="507">
      <c r="Q507" s="187"/>
    </row>
    <row r="508">
      <c r="Q508" s="187"/>
    </row>
    <row r="509">
      <c r="Q509" s="187"/>
    </row>
    <row r="510">
      <c r="Q510" s="187"/>
    </row>
    <row r="511">
      <c r="Q511" s="187"/>
    </row>
    <row r="512">
      <c r="Q512" s="187"/>
    </row>
    <row r="513">
      <c r="Q513" s="187"/>
    </row>
    <row r="514">
      <c r="Q514" s="187"/>
    </row>
    <row r="515">
      <c r="Q515" s="187"/>
    </row>
    <row r="516">
      <c r="Q516" s="187"/>
    </row>
    <row r="517">
      <c r="Q517" s="187"/>
    </row>
    <row r="518">
      <c r="Q518" s="187"/>
    </row>
    <row r="519">
      <c r="Q519" s="187"/>
    </row>
    <row r="520">
      <c r="Q520" s="187"/>
    </row>
    <row r="521">
      <c r="Q521" s="187"/>
    </row>
    <row r="522">
      <c r="Q522" s="187"/>
    </row>
    <row r="523">
      <c r="Q523" s="187"/>
    </row>
    <row r="524">
      <c r="Q524" s="187"/>
    </row>
    <row r="525">
      <c r="Q525" s="187"/>
    </row>
    <row r="526">
      <c r="Q526" s="187"/>
    </row>
    <row r="527">
      <c r="Q527" s="187"/>
    </row>
    <row r="528">
      <c r="Q528" s="187"/>
    </row>
    <row r="529">
      <c r="Q529" s="187"/>
    </row>
    <row r="530">
      <c r="Q530" s="187"/>
    </row>
    <row r="531">
      <c r="Q531" s="187"/>
    </row>
    <row r="532">
      <c r="Q532" s="187"/>
    </row>
    <row r="533">
      <c r="Q533" s="187"/>
    </row>
    <row r="534">
      <c r="Q534" s="187"/>
    </row>
    <row r="535">
      <c r="Q535" s="187"/>
    </row>
    <row r="536">
      <c r="Q536" s="187"/>
    </row>
    <row r="537">
      <c r="Q537" s="187"/>
    </row>
    <row r="538">
      <c r="Q538" s="187"/>
    </row>
    <row r="539">
      <c r="Q539" s="187"/>
    </row>
    <row r="540">
      <c r="Q540" s="187"/>
    </row>
    <row r="541">
      <c r="Q541" s="187"/>
    </row>
    <row r="542">
      <c r="Q542" s="187"/>
    </row>
    <row r="543">
      <c r="Q543" s="187"/>
    </row>
    <row r="544">
      <c r="Q544" s="187"/>
    </row>
    <row r="545">
      <c r="Q545" s="187"/>
    </row>
    <row r="546">
      <c r="Q546" s="187"/>
    </row>
    <row r="547">
      <c r="Q547" s="187"/>
    </row>
    <row r="548">
      <c r="Q548" s="187"/>
    </row>
    <row r="549">
      <c r="Q549" s="187"/>
    </row>
    <row r="550">
      <c r="Q550" s="187"/>
    </row>
    <row r="551">
      <c r="Q551" s="187"/>
    </row>
    <row r="552">
      <c r="Q552" s="187"/>
    </row>
    <row r="553">
      <c r="Q553" s="187"/>
    </row>
    <row r="554">
      <c r="Q554" s="187"/>
    </row>
    <row r="555">
      <c r="Q555" s="187"/>
    </row>
    <row r="556">
      <c r="Q556" s="187"/>
    </row>
    <row r="557">
      <c r="Q557" s="187"/>
    </row>
    <row r="558">
      <c r="Q558" s="187"/>
    </row>
    <row r="559">
      <c r="Q559" s="187"/>
    </row>
    <row r="560">
      <c r="Q560" s="187"/>
    </row>
    <row r="561">
      <c r="Q561" s="187"/>
    </row>
    <row r="562">
      <c r="Q562" s="187"/>
    </row>
    <row r="563">
      <c r="Q563" s="187"/>
    </row>
    <row r="564">
      <c r="Q564" s="187"/>
    </row>
    <row r="565">
      <c r="Q565" s="187"/>
    </row>
    <row r="566">
      <c r="Q566" s="187"/>
    </row>
    <row r="567">
      <c r="Q567" s="187"/>
    </row>
    <row r="568">
      <c r="Q568" s="187"/>
    </row>
    <row r="569">
      <c r="Q569" s="187"/>
    </row>
    <row r="570">
      <c r="Q570" s="187"/>
    </row>
    <row r="571">
      <c r="Q571" s="187"/>
    </row>
    <row r="572">
      <c r="Q572" s="187"/>
    </row>
    <row r="573">
      <c r="Q573" s="187"/>
    </row>
    <row r="574">
      <c r="Q574" s="187"/>
    </row>
    <row r="575">
      <c r="Q575" s="187"/>
    </row>
    <row r="576">
      <c r="Q576" s="187"/>
    </row>
    <row r="577">
      <c r="Q577" s="187"/>
    </row>
    <row r="578">
      <c r="Q578" s="187"/>
    </row>
    <row r="579">
      <c r="Q579" s="187"/>
    </row>
    <row r="580">
      <c r="Q580" s="187"/>
    </row>
    <row r="581">
      <c r="Q581" s="187"/>
    </row>
    <row r="582">
      <c r="Q582" s="187"/>
    </row>
    <row r="583">
      <c r="Q583" s="187"/>
    </row>
    <row r="584">
      <c r="Q584" s="187"/>
    </row>
    <row r="585">
      <c r="Q585" s="187"/>
    </row>
    <row r="586">
      <c r="Q586" s="187"/>
    </row>
    <row r="587">
      <c r="Q587" s="187"/>
    </row>
    <row r="588">
      <c r="Q588" s="187"/>
    </row>
    <row r="589">
      <c r="Q589" s="187"/>
    </row>
    <row r="590">
      <c r="Q590" s="187"/>
    </row>
    <row r="591">
      <c r="Q591" s="187"/>
    </row>
    <row r="592">
      <c r="Q592" s="187"/>
    </row>
    <row r="593">
      <c r="Q593" s="187"/>
    </row>
    <row r="594">
      <c r="Q594" s="187"/>
    </row>
    <row r="595">
      <c r="Q595" s="187"/>
    </row>
    <row r="596">
      <c r="Q596" s="187"/>
    </row>
    <row r="597">
      <c r="Q597" s="187"/>
    </row>
    <row r="598">
      <c r="Q598" s="187"/>
    </row>
    <row r="599">
      <c r="Q599" s="187"/>
    </row>
    <row r="600">
      <c r="Q600" s="187"/>
    </row>
    <row r="601">
      <c r="Q601" s="187"/>
    </row>
    <row r="602">
      <c r="Q602" s="187"/>
    </row>
    <row r="603">
      <c r="Q603" s="187"/>
    </row>
    <row r="604">
      <c r="Q604" s="187"/>
    </row>
    <row r="605">
      <c r="Q605" s="187"/>
    </row>
    <row r="606">
      <c r="Q606" s="187"/>
    </row>
    <row r="607">
      <c r="Q607" s="187"/>
    </row>
    <row r="608">
      <c r="Q608" s="187"/>
    </row>
    <row r="609">
      <c r="Q609" s="187"/>
    </row>
    <row r="610">
      <c r="Q610" s="187"/>
    </row>
    <row r="611">
      <c r="Q611" s="187"/>
    </row>
    <row r="612">
      <c r="Q612" s="187"/>
    </row>
    <row r="613">
      <c r="Q613" s="187"/>
    </row>
    <row r="614">
      <c r="Q614" s="187"/>
    </row>
    <row r="615">
      <c r="Q615" s="187"/>
    </row>
    <row r="616">
      <c r="Q616" s="187"/>
    </row>
    <row r="617">
      <c r="Q617" s="187"/>
    </row>
    <row r="618">
      <c r="Q618" s="187"/>
    </row>
    <row r="619">
      <c r="Q619" s="187"/>
    </row>
    <row r="620">
      <c r="Q620" s="187"/>
    </row>
    <row r="621">
      <c r="Q621" s="187"/>
    </row>
    <row r="622">
      <c r="Q622" s="187"/>
    </row>
    <row r="623">
      <c r="Q623" s="187"/>
    </row>
    <row r="624">
      <c r="Q624" s="187"/>
    </row>
    <row r="625">
      <c r="Q625" s="187"/>
    </row>
    <row r="626">
      <c r="Q626" s="187"/>
    </row>
    <row r="627">
      <c r="Q627" s="187"/>
    </row>
    <row r="628">
      <c r="Q628" s="187"/>
    </row>
    <row r="629">
      <c r="Q629" s="187"/>
    </row>
    <row r="630">
      <c r="Q630" s="187"/>
    </row>
    <row r="631">
      <c r="Q631" s="187"/>
    </row>
    <row r="632">
      <c r="Q632" s="187"/>
    </row>
    <row r="633">
      <c r="Q633" s="187"/>
    </row>
    <row r="634">
      <c r="Q634" s="187"/>
    </row>
    <row r="635">
      <c r="Q635" s="187"/>
    </row>
    <row r="636">
      <c r="Q636" s="187"/>
    </row>
    <row r="637">
      <c r="Q637" s="187"/>
    </row>
    <row r="638">
      <c r="Q638" s="187"/>
    </row>
    <row r="639">
      <c r="Q639" s="187"/>
    </row>
    <row r="640">
      <c r="Q640" s="187"/>
    </row>
    <row r="641">
      <c r="Q641" s="187"/>
    </row>
    <row r="642">
      <c r="Q642" s="187"/>
    </row>
    <row r="643">
      <c r="Q643" s="187"/>
    </row>
    <row r="644">
      <c r="Q644" s="187"/>
    </row>
    <row r="645">
      <c r="Q645" s="187"/>
    </row>
    <row r="646">
      <c r="Q646" s="187"/>
    </row>
    <row r="647">
      <c r="Q647" s="187"/>
    </row>
    <row r="648">
      <c r="Q648" s="187"/>
    </row>
    <row r="649">
      <c r="Q649" s="187"/>
    </row>
    <row r="650">
      <c r="Q650" s="187"/>
    </row>
    <row r="651">
      <c r="Q651" s="187"/>
    </row>
    <row r="652">
      <c r="Q652" s="187"/>
    </row>
    <row r="653">
      <c r="Q653" s="187"/>
    </row>
    <row r="654">
      <c r="Q654" s="187"/>
    </row>
    <row r="655">
      <c r="Q655" s="187"/>
    </row>
    <row r="656">
      <c r="Q656" s="187"/>
    </row>
    <row r="657">
      <c r="Q657" s="187"/>
    </row>
    <row r="658">
      <c r="Q658" s="187"/>
    </row>
    <row r="659">
      <c r="Q659" s="187"/>
    </row>
    <row r="660">
      <c r="Q660" s="187"/>
    </row>
    <row r="661">
      <c r="Q661" s="187"/>
    </row>
    <row r="662">
      <c r="Q662" s="187"/>
    </row>
    <row r="663">
      <c r="Q663" s="187"/>
    </row>
    <row r="664">
      <c r="Q664" s="187"/>
    </row>
    <row r="665">
      <c r="Q665" s="187"/>
    </row>
    <row r="666">
      <c r="Q666" s="187"/>
    </row>
    <row r="667">
      <c r="Q667" s="187"/>
    </row>
    <row r="668">
      <c r="Q668" s="187"/>
    </row>
    <row r="669">
      <c r="Q669" s="187"/>
    </row>
    <row r="670">
      <c r="Q670" s="187"/>
    </row>
    <row r="671">
      <c r="Q671" s="187"/>
    </row>
    <row r="672">
      <c r="Q672" s="187"/>
    </row>
    <row r="673">
      <c r="Q673" s="187"/>
    </row>
    <row r="674">
      <c r="Q674" s="187"/>
    </row>
    <row r="675">
      <c r="Q675" s="187"/>
    </row>
    <row r="676">
      <c r="Q676" s="187"/>
    </row>
    <row r="677">
      <c r="Q677" s="187"/>
    </row>
    <row r="678">
      <c r="Q678" s="187"/>
    </row>
    <row r="679">
      <c r="Q679" s="187"/>
    </row>
    <row r="680">
      <c r="Q680" s="187"/>
    </row>
    <row r="681">
      <c r="Q681" s="187"/>
    </row>
    <row r="682">
      <c r="Q682" s="187"/>
    </row>
    <row r="683">
      <c r="Q683" s="187"/>
    </row>
    <row r="684">
      <c r="Q684" s="187"/>
    </row>
    <row r="685">
      <c r="Q685" s="187"/>
    </row>
    <row r="686">
      <c r="Q686" s="187"/>
    </row>
    <row r="687">
      <c r="Q687" s="187"/>
    </row>
    <row r="688">
      <c r="Q688" s="187"/>
    </row>
    <row r="689">
      <c r="Q689" s="187"/>
    </row>
    <row r="690">
      <c r="Q690" s="187"/>
    </row>
    <row r="691">
      <c r="Q691" s="187"/>
    </row>
    <row r="692">
      <c r="Q692" s="187"/>
    </row>
    <row r="693">
      <c r="Q693" s="187"/>
    </row>
    <row r="694">
      <c r="Q694" s="187"/>
    </row>
    <row r="695">
      <c r="Q695" s="187"/>
    </row>
    <row r="696">
      <c r="Q696" s="187"/>
    </row>
    <row r="697">
      <c r="Q697" s="187"/>
    </row>
    <row r="698">
      <c r="Q698" s="187"/>
    </row>
    <row r="699">
      <c r="Q699" s="187"/>
    </row>
    <row r="700">
      <c r="Q700" s="187"/>
    </row>
    <row r="701">
      <c r="Q701" s="187"/>
    </row>
    <row r="702">
      <c r="Q702" s="187"/>
    </row>
    <row r="703">
      <c r="Q703" s="187"/>
    </row>
    <row r="704">
      <c r="Q704" s="187"/>
    </row>
    <row r="705">
      <c r="Q705" s="187"/>
    </row>
    <row r="706">
      <c r="Q706" s="187"/>
    </row>
    <row r="707">
      <c r="Q707" s="187"/>
    </row>
    <row r="708">
      <c r="Q708" s="187"/>
    </row>
    <row r="709">
      <c r="Q709" s="187"/>
    </row>
    <row r="710">
      <c r="Q710" s="187"/>
    </row>
    <row r="711">
      <c r="Q711" s="187"/>
    </row>
    <row r="712">
      <c r="Q712" s="187"/>
    </row>
    <row r="713">
      <c r="Q713" s="187"/>
    </row>
    <row r="714">
      <c r="Q714" s="187"/>
    </row>
    <row r="715">
      <c r="Q715" s="187"/>
    </row>
    <row r="716">
      <c r="Q716" s="187"/>
    </row>
    <row r="717">
      <c r="Q717" s="187"/>
    </row>
    <row r="718">
      <c r="Q718" s="187"/>
    </row>
    <row r="719">
      <c r="Q719" s="187"/>
    </row>
    <row r="720">
      <c r="Q720" s="187"/>
    </row>
    <row r="721">
      <c r="Q721" s="187"/>
    </row>
    <row r="722">
      <c r="Q722" s="187"/>
    </row>
    <row r="723">
      <c r="Q723" s="187"/>
    </row>
    <row r="724">
      <c r="Q724" s="187"/>
    </row>
    <row r="725">
      <c r="Q725" s="187"/>
    </row>
    <row r="726">
      <c r="Q726" s="187"/>
    </row>
    <row r="727">
      <c r="Q727" s="187"/>
    </row>
    <row r="728">
      <c r="Q728" s="187"/>
    </row>
    <row r="729">
      <c r="Q729" s="187"/>
    </row>
    <row r="730">
      <c r="Q730" s="187"/>
    </row>
    <row r="731">
      <c r="Q731" s="187"/>
    </row>
    <row r="732">
      <c r="Q732" s="187"/>
    </row>
    <row r="733">
      <c r="Q733" s="187"/>
    </row>
    <row r="734">
      <c r="Q734" s="187"/>
    </row>
    <row r="735">
      <c r="Q735" s="187"/>
    </row>
    <row r="736">
      <c r="Q736" s="187"/>
    </row>
    <row r="737">
      <c r="Q737" s="187"/>
    </row>
    <row r="738">
      <c r="Q738" s="187"/>
    </row>
    <row r="739">
      <c r="Q739" s="187"/>
    </row>
    <row r="740">
      <c r="Q740" s="187"/>
    </row>
    <row r="741">
      <c r="Q741" s="187"/>
    </row>
    <row r="742">
      <c r="Q742" s="187"/>
    </row>
    <row r="743">
      <c r="Q743" s="187"/>
    </row>
    <row r="744">
      <c r="Q744" s="187"/>
    </row>
    <row r="745">
      <c r="Q745" s="187"/>
    </row>
    <row r="746">
      <c r="Q746" s="187"/>
    </row>
    <row r="747">
      <c r="Q747" s="187"/>
    </row>
    <row r="748">
      <c r="Q748" s="187"/>
    </row>
    <row r="749">
      <c r="Q749" s="187"/>
    </row>
    <row r="750">
      <c r="Q750" s="187"/>
    </row>
    <row r="751">
      <c r="Q751" s="187"/>
    </row>
    <row r="752">
      <c r="Q752" s="187"/>
    </row>
    <row r="753">
      <c r="Q753" s="187"/>
    </row>
    <row r="754">
      <c r="Q754" s="187"/>
    </row>
    <row r="755">
      <c r="Q755" s="187"/>
    </row>
    <row r="756">
      <c r="Q756" s="187"/>
    </row>
    <row r="757">
      <c r="Q757" s="187"/>
    </row>
    <row r="758">
      <c r="Q758" s="187"/>
    </row>
    <row r="759">
      <c r="Q759" s="187"/>
    </row>
    <row r="760">
      <c r="Q760" s="187"/>
    </row>
    <row r="761">
      <c r="Q761" s="187"/>
    </row>
    <row r="762">
      <c r="Q762" s="187"/>
    </row>
    <row r="763">
      <c r="Q763" s="187"/>
    </row>
    <row r="764">
      <c r="Q764" s="187"/>
    </row>
    <row r="765">
      <c r="Q765" s="187"/>
    </row>
    <row r="766">
      <c r="Q766" s="187"/>
    </row>
    <row r="767">
      <c r="Q767" s="187"/>
    </row>
    <row r="768">
      <c r="Q768" s="187"/>
    </row>
    <row r="769">
      <c r="Q769" s="187"/>
    </row>
    <row r="770">
      <c r="Q770" s="187"/>
    </row>
    <row r="771">
      <c r="Q771" s="187"/>
    </row>
    <row r="772">
      <c r="Q772" s="187"/>
    </row>
    <row r="773">
      <c r="Q773" s="187"/>
    </row>
    <row r="774">
      <c r="Q774" s="187"/>
    </row>
    <row r="775">
      <c r="Q775" s="187"/>
    </row>
    <row r="776">
      <c r="Q776" s="187"/>
    </row>
    <row r="777">
      <c r="Q777" s="187"/>
    </row>
    <row r="778">
      <c r="Q778" s="187"/>
    </row>
    <row r="779">
      <c r="Q779" s="187"/>
    </row>
    <row r="780">
      <c r="Q780" s="187"/>
    </row>
    <row r="781">
      <c r="Q781" s="187"/>
    </row>
    <row r="782">
      <c r="Q782" s="187"/>
    </row>
    <row r="783">
      <c r="Q783" s="187"/>
    </row>
    <row r="784">
      <c r="Q784" s="187"/>
    </row>
    <row r="785">
      <c r="Q785" s="187"/>
    </row>
    <row r="786">
      <c r="Q786" s="187"/>
    </row>
    <row r="787">
      <c r="Q787" s="187"/>
    </row>
    <row r="788">
      <c r="Q788" s="187"/>
    </row>
    <row r="789">
      <c r="Q789" s="187"/>
    </row>
    <row r="790">
      <c r="Q790" s="187"/>
    </row>
    <row r="791">
      <c r="Q791" s="187"/>
    </row>
    <row r="792">
      <c r="Q792" s="187"/>
    </row>
    <row r="793">
      <c r="Q793" s="187"/>
    </row>
    <row r="794">
      <c r="Q794" s="187"/>
    </row>
    <row r="795">
      <c r="Q795" s="187"/>
    </row>
    <row r="796">
      <c r="Q796" s="187"/>
    </row>
    <row r="797">
      <c r="Q797" s="187"/>
    </row>
    <row r="798">
      <c r="Q798" s="187"/>
    </row>
    <row r="799">
      <c r="Q799" s="187"/>
    </row>
    <row r="800">
      <c r="Q800" s="187"/>
    </row>
    <row r="801">
      <c r="Q801" s="187"/>
    </row>
    <row r="802">
      <c r="Q802" s="187"/>
    </row>
    <row r="803">
      <c r="Q803" s="187"/>
    </row>
    <row r="804">
      <c r="Q804" s="187"/>
    </row>
    <row r="805">
      <c r="Q805" s="187"/>
    </row>
    <row r="806">
      <c r="Q806" s="187"/>
    </row>
    <row r="807">
      <c r="Q807" s="187"/>
    </row>
    <row r="808">
      <c r="Q808" s="187"/>
    </row>
    <row r="809">
      <c r="Q809" s="187"/>
    </row>
    <row r="810">
      <c r="Q810" s="187"/>
    </row>
    <row r="811">
      <c r="Q811" s="187"/>
    </row>
    <row r="812">
      <c r="Q812" s="187"/>
    </row>
    <row r="813">
      <c r="Q813" s="187"/>
    </row>
    <row r="814">
      <c r="Q814" s="187"/>
    </row>
    <row r="815">
      <c r="Q815" s="187"/>
    </row>
    <row r="816">
      <c r="Q816" s="187"/>
    </row>
    <row r="817">
      <c r="Q817" s="187"/>
    </row>
    <row r="818">
      <c r="Q818" s="187"/>
    </row>
    <row r="819">
      <c r="Q819" s="187"/>
    </row>
    <row r="820">
      <c r="Q820" s="187"/>
    </row>
    <row r="821">
      <c r="Q821" s="187"/>
    </row>
    <row r="822">
      <c r="Q822" s="187"/>
    </row>
    <row r="823">
      <c r="Q823" s="187"/>
    </row>
    <row r="824">
      <c r="Q824" s="187"/>
    </row>
    <row r="825">
      <c r="Q825" s="187"/>
    </row>
    <row r="826">
      <c r="Q826" s="187"/>
    </row>
    <row r="827">
      <c r="Q827" s="187"/>
    </row>
    <row r="828">
      <c r="Q828" s="187"/>
    </row>
    <row r="829">
      <c r="Q829" s="187"/>
    </row>
    <row r="830">
      <c r="Q830" s="187"/>
    </row>
    <row r="831">
      <c r="Q831" s="187"/>
    </row>
    <row r="832">
      <c r="Q832" s="187"/>
    </row>
    <row r="833">
      <c r="Q833" s="187"/>
    </row>
    <row r="834">
      <c r="Q834" s="187"/>
    </row>
    <row r="835">
      <c r="Q835" s="187"/>
    </row>
    <row r="836">
      <c r="Q836" s="187"/>
    </row>
    <row r="837">
      <c r="Q837" s="187"/>
    </row>
    <row r="838">
      <c r="Q838" s="187"/>
    </row>
    <row r="839">
      <c r="Q839" s="187"/>
    </row>
    <row r="840">
      <c r="Q840" s="187"/>
    </row>
    <row r="841">
      <c r="Q841" s="187"/>
    </row>
    <row r="842">
      <c r="Q842" s="187"/>
    </row>
    <row r="843">
      <c r="Q843" s="187"/>
    </row>
    <row r="844">
      <c r="Q844" s="187"/>
    </row>
    <row r="845">
      <c r="Q845" s="187"/>
    </row>
    <row r="846">
      <c r="Q846" s="187"/>
    </row>
    <row r="847">
      <c r="Q847" s="187"/>
    </row>
    <row r="848">
      <c r="Q848" s="187"/>
    </row>
    <row r="849">
      <c r="Q849" s="187"/>
    </row>
    <row r="850">
      <c r="Q850" s="187"/>
    </row>
    <row r="851">
      <c r="Q851" s="187"/>
    </row>
    <row r="852">
      <c r="Q852" s="187"/>
    </row>
    <row r="853">
      <c r="Q853" s="187"/>
    </row>
    <row r="854">
      <c r="Q854" s="187"/>
    </row>
    <row r="855">
      <c r="Q855" s="187"/>
    </row>
    <row r="856">
      <c r="Q856" s="187"/>
    </row>
    <row r="857">
      <c r="Q857" s="187"/>
    </row>
    <row r="858">
      <c r="Q858" s="187"/>
    </row>
    <row r="859">
      <c r="Q859" s="187"/>
    </row>
    <row r="860">
      <c r="Q860" s="187"/>
    </row>
    <row r="861">
      <c r="Q861" s="187"/>
    </row>
    <row r="862">
      <c r="Q862" s="187"/>
    </row>
    <row r="863">
      <c r="Q863" s="187"/>
    </row>
    <row r="864">
      <c r="Q864" s="187"/>
    </row>
    <row r="865">
      <c r="Q865" s="187"/>
    </row>
    <row r="866">
      <c r="Q866" s="187"/>
    </row>
    <row r="867">
      <c r="Q867" s="187"/>
    </row>
    <row r="868">
      <c r="Q868" s="187"/>
    </row>
    <row r="869">
      <c r="Q869" s="187"/>
    </row>
    <row r="870">
      <c r="Q870" s="187"/>
    </row>
    <row r="871">
      <c r="Q871" s="187"/>
    </row>
    <row r="872">
      <c r="Q872" s="187"/>
    </row>
    <row r="873">
      <c r="Q873" s="187"/>
    </row>
    <row r="874">
      <c r="Q874" s="187"/>
    </row>
    <row r="875">
      <c r="Q875" s="187"/>
    </row>
    <row r="876">
      <c r="Q876" s="187"/>
    </row>
    <row r="877">
      <c r="Q877" s="187"/>
    </row>
    <row r="878">
      <c r="Q878" s="187"/>
    </row>
    <row r="879">
      <c r="Q879" s="187"/>
    </row>
    <row r="880">
      <c r="Q880" s="187"/>
    </row>
    <row r="881">
      <c r="Q881" s="187"/>
    </row>
    <row r="882">
      <c r="Q882" s="187"/>
    </row>
    <row r="883">
      <c r="Q883" s="187"/>
    </row>
    <row r="884">
      <c r="Q884" s="187"/>
    </row>
    <row r="885">
      <c r="Q885" s="187"/>
    </row>
    <row r="886">
      <c r="Q886" s="187"/>
    </row>
    <row r="887">
      <c r="Q887" s="187"/>
    </row>
    <row r="888">
      <c r="Q888" s="187"/>
    </row>
    <row r="889">
      <c r="Q889" s="187"/>
    </row>
    <row r="890">
      <c r="Q890" s="187"/>
    </row>
    <row r="891">
      <c r="Q891" s="187"/>
    </row>
    <row r="892">
      <c r="Q892" s="187"/>
    </row>
    <row r="893">
      <c r="Q893" s="187"/>
    </row>
    <row r="894">
      <c r="Q894" s="187"/>
    </row>
    <row r="895">
      <c r="Q895" s="187"/>
    </row>
    <row r="896">
      <c r="Q896" s="187"/>
    </row>
    <row r="897">
      <c r="Q897" s="187"/>
    </row>
    <row r="898">
      <c r="Q898" s="187"/>
    </row>
    <row r="899">
      <c r="Q899" s="187"/>
    </row>
    <row r="900">
      <c r="Q900" s="187"/>
    </row>
    <row r="901">
      <c r="Q901" s="187"/>
    </row>
    <row r="902">
      <c r="Q902" s="187"/>
    </row>
    <row r="903">
      <c r="Q903" s="187"/>
    </row>
    <row r="904">
      <c r="Q904" s="187"/>
    </row>
    <row r="905">
      <c r="Q905" s="187"/>
    </row>
    <row r="906">
      <c r="Q906" s="187"/>
    </row>
    <row r="907">
      <c r="Q907" s="187"/>
    </row>
    <row r="908">
      <c r="Q908" s="187"/>
    </row>
    <row r="909">
      <c r="Q909" s="187"/>
    </row>
    <row r="910">
      <c r="Q910" s="187"/>
    </row>
    <row r="911">
      <c r="Q911" s="187"/>
    </row>
    <row r="912">
      <c r="Q912" s="187"/>
    </row>
    <row r="913">
      <c r="Q913" s="187"/>
    </row>
    <row r="914">
      <c r="Q914" s="187"/>
    </row>
    <row r="915">
      <c r="Q915" s="187"/>
    </row>
    <row r="916">
      <c r="Q916" s="187"/>
    </row>
    <row r="917">
      <c r="Q917" s="187"/>
    </row>
    <row r="918">
      <c r="Q918" s="187"/>
    </row>
    <row r="919">
      <c r="Q919" s="187"/>
    </row>
    <row r="920">
      <c r="Q920" s="187"/>
    </row>
    <row r="921">
      <c r="Q921" s="187"/>
    </row>
    <row r="922">
      <c r="Q922" s="187"/>
    </row>
    <row r="923">
      <c r="Q923" s="187"/>
    </row>
    <row r="924">
      <c r="Q924" s="187"/>
    </row>
    <row r="925">
      <c r="Q925" s="187"/>
    </row>
    <row r="926">
      <c r="Q926" s="187"/>
    </row>
    <row r="927">
      <c r="Q927" s="187"/>
    </row>
    <row r="928">
      <c r="Q928" s="187"/>
    </row>
    <row r="929">
      <c r="Q929" s="187"/>
    </row>
    <row r="930">
      <c r="Q930" s="187"/>
    </row>
    <row r="931">
      <c r="Q931" s="187"/>
    </row>
    <row r="932">
      <c r="Q932" s="187"/>
    </row>
    <row r="933">
      <c r="Q933" s="187"/>
    </row>
    <row r="934">
      <c r="Q934" s="187"/>
    </row>
    <row r="935">
      <c r="Q935" s="187"/>
    </row>
    <row r="936">
      <c r="Q936" s="187"/>
    </row>
    <row r="937">
      <c r="Q937" s="187"/>
    </row>
    <row r="938">
      <c r="Q938" s="187"/>
    </row>
    <row r="939">
      <c r="Q939" s="187"/>
    </row>
    <row r="940">
      <c r="Q940" s="187"/>
    </row>
    <row r="941">
      <c r="Q941" s="187"/>
    </row>
    <row r="942">
      <c r="Q942" s="187"/>
    </row>
    <row r="943">
      <c r="Q943" s="187"/>
    </row>
    <row r="944">
      <c r="Q944" s="187"/>
    </row>
    <row r="945">
      <c r="Q945" s="187"/>
    </row>
    <row r="946">
      <c r="Q946" s="187"/>
    </row>
    <row r="947">
      <c r="Q947" s="187"/>
    </row>
    <row r="948">
      <c r="Q948" s="187"/>
    </row>
    <row r="949">
      <c r="Q949" s="187"/>
    </row>
    <row r="950">
      <c r="Q950" s="187"/>
    </row>
    <row r="951">
      <c r="Q951" s="187"/>
    </row>
    <row r="952">
      <c r="Q952" s="187"/>
    </row>
    <row r="953">
      <c r="Q953" s="187"/>
    </row>
    <row r="954">
      <c r="Q954" s="187"/>
    </row>
    <row r="955">
      <c r="Q955" s="187"/>
    </row>
    <row r="956">
      <c r="Q956" s="187"/>
    </row>
    <row r="957">
      <c r="Q957" s="187"/>
    </row>
    <row r="958">
      <c r="Q958" s="187"/>
    </row>
    <row r="959">
      <c r="Q959" s="187"/>
    </row>
    <row r="960">
      <c r="Q960" s="187"/>
    </row>
    <row r="961">
      <c r="Q961" s="187"/>
    </row>
    <row r="962">
      <c r="Q962" s="187"/>
    </row>
    <row r="963">
      <c r="Q963" s="187"/>
    </row>
    <row r="964">
      <c r="Q964" s="187"/>
    </row>
    <row r="965">
      <c r="Q965" s="187"/>
    </row>
    <row r="966">
      <c r="Q966" s="187"/>
    </row>
    <row r="967">
      <c r="Q967" s="187"/>
    </row>
    <row r="968">
      <c r="Q968" s="187"/>
    </row>
    <row r="969">
      <c r="Q969" s="187"/>
    </row>
    <row r="970">
      <c r="Q970" s="187"/>
    </row>
    <row r="971">
      <c r="Q971" s="187"/>
    </row>
    <row r="972">
      <c r="Q972" s="187"/>
    </row>
    <row r="973">
      <c r="Q973" s="187"/>
    </row>
    <row r="974">
      <c r="Q974" s="187"/>
    </row>
    <row r="975">
      <c r="Q975" s="187"/>
    </row>
    <row r="976">
      <c r="Q976" s="187"/>
    </row>
    <row r="977">
      <c r="Q977" s="187"/>
    </row>
    <row r="978">
      <c r="Q978" s="187"/>
    </row>
    <row r="979">
      <c r="Q979" s="187"/>
    </row>
    <row r="980">
      <c r="Q980" s="187"/>
    </row>
    <row r="981">
      <c r="Q981" s="187"/>
    </row>
    <row r="982">
      <c r="Q982" s="187"/>
    </row>
    <row r="983">
      <c r="Q983" s="187"/>
    </row>
    <row r="984">
      <c r="Q984" s="187"/>
    </row>
    <row r="985">
      <c r="Q985" s="187"/>
    </row>
    <row r="986">
      <c r="Q986" s="187"/>
    </row>
    <row r="987">
      <c r="Q987" s="187"/>
    </row>
    <row r="988">
      <c r="Q988" s="187"/>
    </row>
    <row r="989">
      <c r="Q989" s="187"/>
    </row>
    <row r="990">
      <c r="Q990" s="187"/>
    </row>
    <row r="991">
      <c r="Q991" s="187"/>
    </row>
    <row r="992">
      <c r="Q992" s="187"/>
    </row>
    <row r="993">
      <c r="Q993" s="187"/>
    </row>
    <row r="994">
      <c r="Q994" s="187"/>
    </row>
    <row r="995">
      <c r="Q995" s="187"/>
    </row>
    <row r="996">
      <c r="Q996" s="187"/>
    </row>
    <row r="997">
      <c r="Q997" s="187"/>
    </row>
    <row r="998">
      <c r="Q998" s="187"/>
    </row>
    <row r="999">
      <c r="Q999" s="187"/>
    </row>
  </sheetData>
  <drawing r:id="rId2"/>
  <legacyDrawing r:id="rId3"/>
</worksheet>
</file>